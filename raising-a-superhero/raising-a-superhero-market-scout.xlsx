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y_Metrics" sheetId="2" state="visible" r:id="rId2"/>
    <sheet xmlns:r="http://schemas.openxmlformats.org/officeDocument/2006/relationships" name="Amazon_Top20" sheetId="3" state="visible" r:id="rId3"/>
    <sheet xmlns:r="http://schemas.openxmlformats.org/officeDocument/2006/relationships" name="Apple_Top20" sheetId="4" state="visible" r:id="rId4"/>
    <sheet xmlns:r="http://schemas.openxmlformats.org/officeDocument/2006/relationships" name="Complaints" sheetId="5" state="visible" r:id="rId5"/>
    <sheet xmlns:r="http://schemas.openxmlformats.org/officeDocument/2006/relationships" name="Opportun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Raising a Superhero: market scout (Kindle + Apple Books)</t>
        </is>
      </c>
    </row>
    <row r="2">
      <c r="A2" t="inlineStr">
        <is>
          <t>Snapshot date</t>
        </is>
      </c>
      <c r="B2" t="inlineStr">
        <is>
          <t>2026-10-11 (single snapshot; velocity not measurable)</t>
        </is>
      </c>
    </row>
    <row r="3">
      <c r="A3" t="inlineStr">
        <is>
          <t>Access mode</t>
        </is>
      </c>
      <c r="B3" t="inlineStr">
        <is>
          <t>FALLBACK: no browser. Kindle Ranker (third-party, capture date unknown), Apple iTunes Search API, Goodreads, KDP help pages. Amazon pages not reachable.</t>
        </is>
      </c>
    </row>
    <row r="4">
      <c r="A4" t="inlineStr">
        <is>
          <t>Confidence</t>
        </is>
      </c>
      <c r="B4" t="inlineStr">
        <is>
          <t>Medium-low overall. Kindle category metrics: Medium. Apple: Medium (ratings counts reported, sales unknown).</t>
        </is>
      </c>
    </row>
    <row r="5">
      <c r="A5" t="inlineStr">
        <is>
          <t>KDP 70% band (Amazon.com)</t>
        </is>
      </c>
      <c r="B5" t="inlineStr">
        <is>
          <t>$2.99-$12.99 effective 7 Jul 2026 (verified on kdp.amazon.com 2026-10-11)</t>
        </is>
      </c>
    </row>
    <row r="6">
      <c r="A6" t="inlineStr">
        <is>
          <t>KDP Nigeria payment</t>
        </is>
      </c>
      <c r="B6" t="inlineStr">
        <is>
          <t>Wire transfer, NGN only (verified 2026-10-11)</t>
        </is>
      </c>
    </row>
    <row r="7">
      <c r="A7" t="inlineStr">
        <is>
          <t>KDP AI rule</t>
        </is>
      </c>
      <c r="B7" t="inlineStr">
        <is>
          <t>AI-GENERATED text/images (incl. cover and interior art) must be disclosed; AI-ASSISTED need not (verified 2026-10-11)</t>
        </is>
      </c>
    </row>
    <row r="8">
      <c r="A8" t="inlineStr">
        <is>
          <t>Label key</t>
        </is>
      </c>
      <c r="B8" t="inlineStr">
        <is>
          <t>REPORTED = read from a source; EST = calculated; INFERRED = judgement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0" customWidth="1" min="5" max="5"/>
    <col width="16" customWidth="1" min="6" max="6"/>
    <col width="12" customWidth="1" min="7" max="7"/>
    <col width="12" customWidth="1" min="8" max="8"/>
    <col width="60" customWidth="1" min="9" max="9"/>
  </cols>
  <sheetData>
    <row r="1">
      <c r="A1" s="2" t="inlineStr">
        <is>
          <t>Category (Kindle Ranker, REPORTED)</t>
        </is>
      </c>
      <c r="B1" s="2" t="inlineStr">
        <is>
          <t>#1 sales/day</t>
        </is>
      </c>
      <c r="C1" s="2" t="inlineStr">
        <is>
          <t>#50 sales/day</t>
        </is>
      </c>
      <c r="D1" s="2" t="inlineStr">
        <is>
          <t>Median price</t>
        </is>
      </c>
      <c r="E1" s="2" t="inlineStr">
        <is>
          <t>Avg pages</t>
        </is>
      </c>
      <c r="F1" s="2" t="inlineStr">
        <is>
          <t>Median monthly $ (top30)</t>
        </is>
      </c>
      <c r="G1" s="2" t="inlineStr">
        <is>
          <t>Indie success %</t>
        </is>
      </c>
      <c r="H1" s="2" t="inlineStr">
        <is>
          <t>KDP Select %</t>
        </is>
      </c>
      <c r="I1" s="2" t="inlineStr">
        <is>
          <t>Note</t>
        </is>
      </c>
    </row>
    <row r="2">
      <c r="A2" t="inlineStr">
        <is>
          <t>Kindle &gt; Counseling &amp; Psychology &gt; ADHD (node 11717478011)</t>
        </is>
      </c>
      <c r="B2" t="n">
        <v>106</v>
      </c>
      <c r="C2" t="n">
        <v>1</v>
      </c>
      <c r="D2" t="n">
        <v>9</v>
      </c>
      <c r="E2" t="n">
        <v>215</v>
      </c>
      <c r="F2" t="n">
        <v>504</v>
      </c>
      <c r="G2" t="inlineStr">
        <is>
          <t>30%</t>
        </is>
      </c>
      <c r="H2" t="inlineStr">
        <is>
          <t>33.33%</t>
        </is>
      </c>
      <c r="I2" t="inlineStr">
        <is>
          <t>#1 is KC Davis house-cleaning title (adult), inflates demand</t>
        </is>
      </c>
    </row>
    <row r="3">
      <c r="A3" t="inlineStr">
        <is>
          <t>Kindle &gt; Parenting &gt; Special Needs &gt; Hyperactivity</t>
        </is>
      </c>
      <c r="B3" t="n">
        <v>7</v>
      </c>
      <c r="C3" t="n">
        <v>1</v>
      </c>
      <c r="D3" t="n">
        <v>9.99</v>
      </c>
      <c r="E3" t="n">
        <v>211</v>
      </c>
      <c r="F3" t="n">
        <v>559</v>
      </c>
      <c r="G3" t="inlineStr"/>
      <c r="H3" t="inlineStr"/>
      <c r="I3" t="inlineStr">
        <is>
          <t>Truest Kindle proxy for this book</t>
        </is>
      </c>
    </row>
    <row r="4">
      <c r="A4" t="inlineStr">
        <is>
          <t>Print &gt; Parenting &gt; Special Needs &gt; Hyperactivity</t>
        </is>
      </c>
      <c r="B4" t="n">
        <v>15</v>
      </c>
      <c r="C4" t="n">
        <v>1</v>
      </c>
      <c r="D4" t="n">
        <v>15.47</v>
      </c>
      <c r="E4" t="n">
        <v>176</v>
      </c>
      <c r="F4" t="n">
        <v>433</v>
      </c>
      <c r="G4" t="inlineStr"/>
      <c r="H4" t="inlineStr"/>
      <c r="I4" t="inlineStr">
        <is>
          <t>Print outsells Kindle ~2x at #1</t>
        </is>
      </c>
    </row>
    <row r="5">
      <c r="A5" t="inlineStr">
        <is>
          <t>Kindle &gt; Parenting &gt; Child Care</t>
        </is>
      </c>
      <c r="B5" t="n">
        <v>1</v>
      </c>
      <c r="C5" t="n">
        <v>0</v>
      </c>
      <c r="D5" t="n">
        <v>6.12</v>
      </c>
      <c r="E5" t="n">
        <v>203</v>
      </c>
      <c r="F5" t="n">
        <v>171</v>
      </c>
      <c r="G5" t="inlineStr"/>
      <c r="H5" t="inlineStr"/>
      <c r="I5" t="inlineStr">
        <is>
          <t>Adjacent, weak</t>
        </is>
      </c>
    </row>
    <row r="6">
      <c r="A6" t="inlineStr">
        <is>
          <t>Kindle &gt; Counseling &gt; Children</t>
        </is>
      </c>
      <c r="B6" t="n">
        <v>1</v>
      </c>
      <c r="C6" t="n">
        <v>0</v>
      </c>
      <c r="D6" t="n">
        <v>5.05</v>
      </c>
      <c r="E6" t="n">
        <v>116</v>
      </c>
      <c r="F6" t="n">
        <v>0</v>
      </c>
      <c r="G6" t="inlineStr"/>
      <c r="H6" t="inlineStr"/>
      <c r="I6" t="inlineStr">
        <is>
          <t>Dead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4" customWidth="1" min="3" max="3"/>
    <col width="10" customWidth="1" min="4" max="4"/>
    <col width="14" customWidth="1" min="5" max="5"/>
    <col width="18" customWidth="1" min="6" max="6"/>
    <col width="8" customWidth="1" min="7" max="7"/>
    <col width="12" customWidth="1" min="8" max="8"/>
    <col width="28" customWidth="1" min="9" max="9"/>
    <col width="18" customWidth="1" min="10" max="10"/>
  </cols>
  <sheetData>
    <row r="1">
      <c r="A1" s="2" t="inlineStr">
        <is>
          <t>Format</t>
        </is>
      </c>
      <c r="B1" s="2" t="inlineStr">
        <is>
          <t>Title (author)</t>
        </is>
      </c>
      <c r="C1" s="2" t="inlineStr">
        <is>
          <t>BSR (REPORTED)</t>
        </is>
      </c>
      <c r="D1" s="2" t="inlineStr">
        <is>
          <t>Price</t>
        </is>
      </c>
      <c r="E1" s="2" t="inlineStr">
        <is>
          <t>Reviews/ratings</t>
        </is>
      </c>
      <c r="F1" s="2" t="inlineStr">
        <is>
          <t>Est monthly $ (Kindle Ranker)</t>
        </is>
      </c>
      <c r="G1" s="2" t="inlineStr">
        <is>
          <t>Pages</t>
        </is>
      </c>
      <c r="H1" s="2" t="inlineStr">
        <is>
          <t>Goodreads avg</t>
        </is>
      </c>
      <c r="I1" s="2" t="inlineStr">
        <is>
          <t>Publisher type</t>
        </is>
      </c>
      <c r="J1" s="2" t="inlineStr">
        <is>
          <t>Royalty/sale if Kindle (EST)</t>
        </is>
      </c>
    </row>
    <row r="2">
      <c r="A2" t="inlineStr">
        <is>
          <t>Print</t>
        </is>
      </c>
      <c r="B2" t="inlineStr">
        <is>
          <t>How to Parent Children with ADHD (Laine)</t>
        </is>
      </c>
      <c r="C2" t="n">
        <v>5335</v>
      </c>
      <c r="D2" t="n">
        <v>16.48</v>
      </c>
      <c r="E2" t="n">
        <v>385</v>
      </c>
      <c r="F2" t="n">
        <v>8305</v>
      </c>
      <c r="G2" t="n">
        <v>142</v>
      </c>
      <c r="H2" t="n">
        <v>3.73</v>
      </c>
      <c r="I2" t="inlineStr">
        <is>
          <t>Indie (Parent Path Press)</t>
        </is>
      </c>
      <c r="J2" t="inlineStr"/>
    </row>
    <row r="3">
      <c r="A3" t="inlineStr">
        <is>
          <t>Print</t>
        </is>
      </c>
      <c r="B3" t="inlineStr">
        <is>
          <t>Angry Parent Angry Child (Khang)</t>
        </is>
      </c>
      <c r="C3" t="n">
        <v>17143</v>
      </c>
      <c r="D3" t="n">
        <v>17.95</v>
      </c>
      <c r="E3" t="n">
        <v>503</v>
      </c>
      <c r="F3" t="n">
        <v>4523</v>
      </c>
      <c r="G3" t="inlineStr"/>
      <c r="I3" t="inlineStr">
        <is>
          <t>Indie (UrbanB)</t>
        </is>
      </c>
      <c r="J3" t="inlineStr"/>
    </row>
    <row r="4">
      <c r="A4" t="inlineStr">
        <is>
          <t>Print</t>
        </is>
      </c>
      <c r="B4" t="inlineStr">
        <is>
          <t>ADHD Parenting Guide for Boys (Bass)</t>
        </is>
      </c>
      <c r="C4" t="n">
        <v>19919</v>
      </c>
      <c r="D4" t="n">
        <v>17.22</v>
      </c>
      <c r="E4" t="n">
        <v>243</v>
      </c>
      <c r="F4" t="n">
        <v>3857</v>
      </c>
      <c r="G4" t="n">
        <v>220</v>
      </c>
      <c r="H4" t="n">
        <v>3.83</v>
      </c>
      <c r="I4" t="inlineStr">
        <is>
          <t>Indie</t>
        </is>
      </c>
      <c r="J4" t="inlineStr"/>
    </row>
    <row r="5">
      <c r="A5" t="inlineStr">
        <is>
          <t>Print</t>
        </is>
      </c>
      <c r="B5" t="inlineStr">
        <is>
          <t>Helping Children w/ ADHD and ODD CBT Workbook (SpreadLife)</t>
        </is>
      </c>
      <c r="C5" t="n">
        <v>26184</v>
      </c>
      <c r="D5" t="n">
        <v>14.91</v>
      </c>
      <c r="E5" t="n">
        <v>122</v>
      </c>
      <c r="F5" t="n">
        <v>2504</v>
      </c>
      <c r="G5" t="inlineStr"/>
      <c r="I5" t="inlineStr">
        <is>
          <t>Indie</t>
        </is>
      </c>
      <c r="J5" t="inlineStr"/>
    </row>
    <row r="6">
      <c r="A6" t="inlineStr">
        <is>
          <t>Print</t>
        </is>
      </c>
      <c r="B6" t="inlineStr">
        <is>
          <t>ADHD Parenting Guide for Boys (Giles)</t>
        </is>
      </c>
      <c r="C6" t="n">
        <v>35189</v>
      </c>
      <c r="D6" t="n">
        <v>12.99</v>
      </c>
      <c r="E6" t="n">
        <v>83</v>
      </c>
      <c r="F6" t="n">
        <v>1454</v>
      </c>
      <c r="G6" t="inlineStr"/>
      <c r="I6" t="inlineStr">
        <is>
          <t>Indie</t>
        </is>
      </c>
      <c r="J6" t="inlineStr"/>
    </row>
    <row r="7">
      <c r="A7" t="inlineStr">
        <is>
          <t>Print</t>
        </is>
      </c>
      <c r="B7" t="inlineStr">
        <is>
          <t>Understanding Girls with ADHD (Nadeau)</t>
        </is>
      </c>
      <c r="C7" t="n">
        <v>57377</v>
      </c>
      <c r="D7" t="n">
        <v>21.95</v>
      </c>
      <c r="E7" t="n">
        <v>424</v>
      </c>
      <c r="F7" t="n">
        <v>614</v>
      </c>
      <c r="G7" t="inlineStr"/>
      <c r="I7" t="inlineStr">
        <is>
          <t>Small press</t>
        </is>
      </c>
      <c r="J7" t="inlineStr"/>
    </row>
    <row r="8">
      <c r="A8" t="inlineStr">
        <is>
          <t>Print</t>
        </is>
      </c>
      <c r="B8" t="inlineStr">
        <is>
          <t>CBT &amp; DBT Workbook for Children w/ ADHD &amp; Anger (SpreadLife)</t>
        </is>
      </c>
      <c r="C8" t="n">
        <v>61780</v>
      </c>
      <c r="D8" t="n">
        <v>21.67</v>
      </c>
      <c r="E8" t="n">
        <v>116</v>
      </c>
      <c r="F8" t="n">
        <v>606</v>
      </c>
      <c r="G8" t="inlineStr"/>
      <c r="I8" t="inlineStr">
        <is>
          <t>Indie</t>
        </is>
      </c>
      <c r="J8" t="inlineStr"/>
    </row>
    <row r="9">
      <c r="A9" t="inlineStr">
        <is>
          <t>Print</t>
        </is>
      </c>
      <c r="B9" t="inlineStr">
        <is>
          <t>Parenting Girls with ADHD (Reed)</t>
        </is>
      </c>
      <c r="C9" t="n">
        <v>62333</v>
      </c>
      <c r="D9" t="n">
        <v>12.69</v>
      </c>
      <c r="E9" t="n">
        <v>31</v>
      </c>
      <c r="F9" t="n">
        <v>355</v>
      </c>
      <c r="G9" t="inlineStr"/>
      <c r="I9" t="inlineStr">
        <is>
          <t>Indie</t>
        </is>
      </c>
      <c r="J9" t="inlineStr"/>
    </row>
    <row r="10">
      <c r="A10" t="inlineStr">
        <is>
          <t>Print</t>
        </is>
      </c>
      <c r="B10" t="inlineStr">
        <is>
          <t>Transforming ODD (Greene)</t>
        </is>
      </c>
      <c r="C10" t="n">
        <v>65423</v>
      </c>
      <c r="D10" t="n">
        <v>9.99</v>
      </c>
      <c r="E10" t="n">
        <v>18</v>
      </c>
      <c r="F10" t="n">
        <v>279</v>
      </c>
      <c r="G10" t="inlineStr"/>
      <c r="I10" t="inlineStr">
        <is>
          <t>Indie</t>
        </is>
      </c>
      <c r="J10" t="inlineStr"/>
    </row>
    <row r="11">
      <c r="A11" t="inlineStr">
        <is>
          <t>Print</t>
        </is>
      </c>
      <c r="B11" t="inlineStr">
        <is>
          <t>Essential Guide to Parenting ADHD Children (Pratt)</t>
        </is>
      </c>
      <c r="C11" t="n">
        <v>66621</v>
      </c>
      <c r="D11" t="n">
        <v>9.99</v>
      </c>
      <c r="E11" t="n">
        <v>140</v>
      </c>
      <c r="F11" t="n">
        <v>279</v>
      </c>
      <c r="G11" t="inlineStr"/>
      <c r="I11" t="inlineStr">
        <is>
          <t>Indie</t>
        </is>
      </c>
      <c r="J11" t="inlineStr"/>
    </row>
    <row r="12">
      <c r="A12" t="inlineStr">
        <is>
          <t>Print</t>
        </is>
      </c>
      <c r="B12" t="inlineStr">
        <is>
          <t>ADHD Success Workbook for Kids (Cargill)</t>
        </is>
      </c>
      <c r="C12" t="n">
        <v>81596</v>
      </c>
      <c r="D12" t="n">
        <v>12.99</v>
      </c>
      <c r="E12" t="n">
        <v>54</v>
      </c>
      <c r="F12" t="n">
        <v>363</v>
      </c>
      <c r="G12" t="inlineStr"/>
      <c r="I12" t="inlineStr">
        <is>
          <t>Indie</t>
        </is>
      </c>
      <c r="J12" t="inlineStr"/>
    </row>
    <row r="13">
      <c r="A13" t="inlineStr">
        <is>
          <t>Print</t>
        </is>
      </c>
      <c r="B13" t="inlineStr">
        <is>
          <t>Unlock Parenting Skills for ADHD Boys (Pisciotta)</t>
        </is>
      </c>
      <c r="C13" t="n">
        <v>87666</v>
      </c>
      <c r="D13" t="n">
        <v>17.99</v>
      </c>
      <c r="E13" t="n">
        <v>54</v>
      </c>
      <c r="F13" t="n">
        <v>503</v>
      </c>
      <c r="G13" t="inlineStr"/>
      <c r="I13" t="inlineStr">
        <is>
          <t>Indie</t>
        </is>
      </c>
      <c r="J13" t="inlineStr"/>
    </row>
    <row r="14">
      <c r="A14" t="inlineStr">
        <is>
          <t>Kindle</t>
        </is>
      </c>
      <c r="B14" t="inlineStr">
        <is>
          <t>ADHD is Awesome (Holderness)</t>
        </is>
      </c>
      <c r="C14" t="n">
        <v>11735</v>
      </c>
      <c r="D14" t="n">
        <v>3.99</v>
      </c>
      <c r="E14" t="n">
        <v>1138</v>
      </c>
      <c r="F14" t="n">
        <v>1228</v>
      </c>
      <c r="G14" t="n">
        <v>320</v>
      </c>
      <c r="I14" t="inlineStr">
        <is>
          <t>Trad (Harper Horizon)</t>
        </is>
      </c>
      <c r="J14">
        <f>IF(D14="","",IF(AND(D14&gt;=2.99,D14&lt;=12.99),0.7*D14-0.15,0.35*D14))</f>
        <v/>
      </c>
    </row>
    <row r="15">
      <c r="A15" t="inlineStr">
        <is>
          <t>Kindle</t>
        </is>
      </c>
      <c r="B15" t="inlineStr">
        <is>
          <t>ADHD 2.0 (Hallowell)</t>
        </is>
      </c>
      <c r="C15" t="n">
        <v>28552</v>
      </c>
      <c r="D15" t="n">
        <v>9.99</v>
      </c>
      <c r="E15" t="n">
        <v>3094</v>
      </c>
      <c r="F15" t="n">
        <v>1678</v>
      </c>
      <c r="G15" t="inlineStr"/>
      <c r="I15" t="inlineStr">
        <is>
          <t>Trad</t>
        </is>
      </c>
      <c r="J15">
        <f>IF(D15="","",IF(AND(D15&gt;=2.99,D15&lt;=12.99),0.7*D15-0.15,0.35*D15))</f>
        <v/>
      </c>
    </row>
    <row r="16">
      <c r="A16" t="inlineStr">
        <is>
          <t>Kindle</t>
        </is>
      </c>
      <c r="B16" t="inlineStr">
        <is>
          <t>Taking Charge of ADHD (Barkley)</t>
        </is>
      </c>
      <c r="C16" t="n">
        <v>60885</v>
      </c>
      <c r="D16" t="n">
        <v>13.17</v>
      </c>
      <c r="E16" t="n">
        <v>913</v>
      </c>
      <c r="F16" t="n">
        <v>368</v>
      </c>
      <c r="G16" t="inlineStr"/>
      <c r="I16" t="inlineStr">
        <is>
          <t>Trad (Guilford)</t>
        </is>
      </c>
      <c r="J16">
        <f>IF(D16="","",IF(AND(D16&gt;=2.99,D16&lt;=12.99),0.7*D16-0.15,0.35*D16))</f>
        <v/>
      </c>
    </row>
    <row r="17">
      <c r="A17" t="inlineStr">
        <is>
          <t>Workbook</t>
        </is>
      </c>
      <c r="B17" t="inlineStr">
        <is>
          <t>Thriving with ADHD Workbook for Kids (Miller)</t>
        </is>
      </c>
      <c r="C17" t="inlineStr"/>
      <c r="D17" t="n">
        <v>17.99</v>
      </c>
      <c r="E17" t="n">
        <v>315</v>
      </c>
      <c r="F17" t="inlineStr"/>
      <c r="G17" t="n">
        <v>148</v>
      </c>
      <c r="H17" t="n">
        <v>4.26</v>
      </c>
      <c r="I17" t="inlineStr">
        <is>
          <t>Press</t>
        </is>
      </c>
      <c r="J17" t="inlineStr"/>
    </row>
    <row r="18">
      <c r="A18" t="inlineStr">
        <is>
          <t>Workbook</t>
        </is>
      </c>
      <c r="B18" t="inlineStr">
        <is>
          <t>The ADHD Workbook for Kids (Shapiro)</t>
        </is>
      </c>
      <c r="C18" t="inlineStr"/>
      <c r="D18" t="inlineStr"/>
      <c r="E18" t="n">
        <v>159</v>
      </c>
      <c r="F18" t="inlineStr"/>
      <c r="G18" t="n">
        <v>184</v>
      </c>
      <c r="H18" t="n">
        <v>4.01</v>
      </c>
      <c r="I18" t="inlineStr">
        <is>
          <t>New Harbinger</t>
        </is>
      </c>
      <c r="J18" t="inlineStr"/>
    </row>
    <row r="19">
      <c r="A19" t="inlineStr">
        <is>
          <t>Workbook</t>
        </is>
      </c>
      <c r="B19" t="inlineStr">
        <is>
          <t>Learning to Slow Down &amp; Pay Attention (Nadeau)</t>
        </is>
      </c>
      <c r="C19" t="inlineStr"/>
      <c r="D19" t="inlineStr"/>
      <c r="E19" t="n">
        <v>225</v>
      </c>
      <c r="F19" t="inlineStr"/>
      <c r="G19" t="n">
        <v>96</v>
      </c>
      <c r="H19" t="n">
        <v>3.95</v>
      </c>
      <c r="I19" t="inlineStr">
        <is>
          <t>Magination Press (illustrated)</t>
        </is>
      </c>
      <c r="J19" t="inlineStr"/>
    </row>
    <row r="20">
      <c r="A20" t="inlineStr">
        <is>
          <t>Kindle</t>
        </is>
      </c>
      <c r="B20" t="inlineStr">
        <is>
          <t>ADHD Raising an Explosive Child (Brain)</t>
        </is>
      </c>
      <c r="C20" t="inlineStr"/>
      <c r="D20" t="inlineStr"/>
      <c r="E20" t="n">
        <v>62</v>
      </c>
      <c r="F20" t="inlineStr"/>
      <c r="G20" t="n">
        <v>257</v>
      </c>
      <c r="H20" t="n">
        <v>3.26</v>
      </c>
      <c r="I20" t="inlineStr">
        <is>
          <t>Indie</t>
        </is>
      </c>
      <c r="J20">
        <f>IF(D20="","",IF(AND(D20&gt;=2.99,D20&lt;=12.99),0.7*D20-0.15,0.35*D20))</f>
        <v/>
      </c>
    </row>
    <row r="21">
      <c r="A21" t="inlineStr">
        <is>
          <t>Kindle</t>
        </is>
      </c>
      <c r="B21" t="inlineStr">
        <is>
          <t>ADHD Raising an Explosive Child (Payne)</t>
        </is>
      </c>
      <c r="C21" t="inlineStr"/>
      <c r="D21" t="inlineStr"/>
      <c r="E21" t="n">
        <v>30</v>
      </c>
      <c r="F21" t="inlineStr"/>
      <c r="G21" t="n">
        <v>150</v>
      </c>
      <c r="H21" t="n">
        <v>2.6</v>
      </c>
      <c r="I21" t="inlineStr">
        <is>
          <t>Indie</t>
        </is>
      </c>
      <c r="J21">
        <f>IF(D21="","",IF(AND(D21&gt;=2.99,D21&lt;=12.99),0.7*D21-0.15,0.35*D21))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10" customWidth="1" min="3" max="3"/>
    <col width="12" customWidth="1" min="4" max="4"/>
    <col width="12" customWidth="1" min="5" max="5"/>
    <col width="22" customWidth="1" min="6" max="6"/>
    <col width="16" customWidth="1" min="7" max="7"/>
  </cols>
  <sheetData>
    <row r="1">
      <c r="A1" s="2" t="inlineStr">
        <is>
          <t>Title (all REPORTED via Apple iTunes Search API, 2026-10-11)</t>
        </is>
      </c>
      <c r="B1" s="2" t="inlineStr">
        <is>
          <t>Price</t>
        </is>
      </c>
      <c r="C1" s="2" t="inlineStr">
        <is>
          <t>Avg rating</t>
        </is>
      </c>
      <c r="D1" s="2" t="inlineStr">
        <is>
          <t>Ratings count</t>
        </is>
      </c>
      <c r="E1" s="2" t="inlineStr">
        <is>
          <t>Release year</t>
        </is>
      </c>
      <c r="F1" s="2" t="inlineStr">
        <is>
          <t>Lifetime-ratings EST buyers @2% rate</t>
        </is>
      </c>
      <c r="G1" s="2" t="inlineStr">
        <is>
          <t>EST buyers @5% rate</t>
        </is>
      </c>
    </row>
    <row r="2">
      <c r="A2" t="inlineStr">
        <is>
          <t>ADHD 2.0 (Hallowell)</t>
        </is>
      </c>
      <c r="B2" t="n">
        <v>9.99</v>
      </c>
      <c r="C2" t="n">
        <v>4.5</v>
      </c>
      <c r="D2" t="n">
        <v>90</v>
      </c>
      <c r="E2" t="n">
        <v>2021</v>
      </c>
      <c r="F2">
        <f>D2/0.02</f>
        <v/>
      </c>
      <c r="G2">
        <f>D2/0.05</f>
        <v/>
      </c>
    </row>
    <row r="3">
      <c r="A3" t="inlineStr">
        <is>
          <t>How to ADHD (McCabe)</t>
        </is>
      </c>
      <c r="B3" t="n">
        <v>13.99</v>
      </c>
      <c r="C3" t="n">
        <v>5</v>
      </c>
      <c r="D3" t="n">
        <v>25</v>
      </c>
      <c r="E3" t="n">
        <v>2024</v>
      </c>
      <c r="F3">
        <f>D3/0.02</f>
        <v/>
      </c>
      <c r="G3">
        <f>D3/0.05</f>
        <v/>
      </c>
    </row>
    <row r="4">
      <c r="A4" t="inlineStr">
        <is>
          <t>ADHD is Awesome (Holderness)</t>
        </is>
      </c>
      <c r="B4" t="n">
        <v>19.99</v>
      </c>
      <c r="C4" t="n">
        <v>4.5</v>
      </c>
      <c r="D4" t="n">
        <v>20</v>
      </c>
      <c r="E4" t="n">
        <v>2024</v>
      </c>
      <c r="F4">
        <f>D4/0.02</f>
        <v/>
      </c>
      <c r="G4">
        <f>D4/0.05</f>
        <v/>
      </c>
    </row>
    <row r="5">
      <c r="A5" t="inlineStr">
        <is>
          <t>The Gift of ADHD</t>
        </is>
      </c>
      <c r="B5" t="n">
        <v>13.99</v>
      </c>
      <c r="C5" t="n">
        <v>2</v>
      </c>
      <c r="D5" t="n">
        <v>17</v>
      </c>
      <c r="E5" t="n">
        <v>2010</v>
      </c>
      <c r="F5">
        <f>D5/0.02</f>
        <v/>
      </c>
      <c r="G5">
        <f>D5/0.05</f>
        <v/>
      </c>
    </row>
    <row r="6">
      <c r="A6" t="inlineStr">
        <is>
          <t>ADHD Parenting (Forris)</t>
        </is>
      </c>
      <c r="B6" t="n">
        <v>9.99</v>
      </c>
      <c r="C6" t="n">
        <v>2.5</v>
      </c>
      <c r="D6" t="n">
        <v>12</v>
      </c>
      <c r="E6" t="n">
        <v>2011</v>
      </c>
      <c r="F6">
        <f>D6/0.02</f>
        <v/>
      </c>
      <c r="G6">
        <f>D6/0.05</f>
        <v/>
      </c>
    </row>
    <row r="7">
      <c r="A7" t="inlineStr">
        <is>
          <t>Parenting Kids With ADD/ADHD (Winebarger)</t>
        </is>
      </c>
      <c r="B7" t="n">
        <v>14.99</v>
      </c>
      <c r="C7" t="n">
        <v>2</v>
      </c>
      <c r="D7" t="n">
        <v>12</v>
      </c>
      <c r="E7" t="n">
        <v>2011</v>
      </c>
      <c r="F7">
        <f>D7/0.02</f>
        <v/>
      </c>
      <c r="G7">
        <f>D7/0.05</f>
        <v/>
      </c>
    </row>
    <row r="8">
      <c r="A8" t="inlineStr">
        <is>
          <t>Helping Kids with ADD/ADHD Make Friends</t>
        </is>
      </c>
      <c r="B8" t="n">
        <v>10.99</v>
      </c>
      <c r="C8" t="n">
        <v>2</v>
      </c>
      <c r="D8" t="n">
        <v>12</v>
      </c>
      <c r="E8" t="n">
        <v>2011</v>
      </c>
      <c r="F8">
        <f>D8/0.02</f>
        <v/>
      </c>
      <c r="G8">
        <f>D8/0.05</f>
        <v/>
      </c>
    </row>
    <row r="9">
      <c r="A9" t="inlineStr">
        <is>
          <t>The ADHD Fix</t>
        </is>
      </c>
      <c r="B9" t="n">
        <v>3.99</v>
      </c>
      <c r="C9" t="n">
        <v>2</v>
      </c>
      <c r="D9" t="n">
        <v>11</v>
      </c>
      <c r="E9" t="n">
        <v>2013</v>
      </c>
      <c r="F9">
        <f>D9/0.02</f>
        <v/>
      </c>
      <c r="G9">
        <f>D9/0.05</f>
        <v/>
      </c>
    </row>
    <row r="10">
      <c r="A10" t="inlineStr">
        <is>
          <t>Parenting ADD/ADHD Children (Miles)</t>
        </is>
      </c>
      <c r="B10" t="n">
        <v>3.99</v>
      </c>
      <c r="C10" t="n">
        <v>3.5</v>
      </c>
      <c r="D10" t="n">
        <v>10</v>
      </c>
      <c r="E10" t="n">
        <v>2013</v>
      </c>
      <c r="F10">
        <f>D10/0.02</f>
        <v/>
      </c>
      <c r="G10">
        <f>D10/0.05</f>
        <v/>
      </c>
    </row>
    <row r="11">
      <c r="A11" t="inlineStr">
        <is>
          <t>The ADHD Workbook for Teens</t>
        </is>
      </c>
      <c r="B11" t="n">
        <v>12.99</v>
      </c>
      <c r="C11" t="n">
        <v>1.5</v>
      </c>
      <c r="D11" t="n">
        <v>10</v>
      </c>
      <c r="E11" t="n">
        <v>2011</v>
      </c>
      <c r="F11">
        <f>D11/0.02</f>
        <v/>
      </c>
      <c r="G11">
        <f>D11/0.05</f>
        <v/>
      </c>
    </row>
    <row r="12">
      <c r="A12" t="inlineStr">
        <is>
          <t>Gordy the Rabbit has ADHD</t>
        </is>
      </c>
      <c r="B12" t="n">
        <v>0</v>
      </c>
      <c r="C12" t="n">
        <v>4</v>
      </c>
      <c r="D12" t="n">
        <v>10</v>
      </c>
      <c r="E12" t="n">
        <v>2015</v>
      </c>
      <c r="F12">
        <f>D12/0.02</f>
        <v/>
      </c>
      <c r="G12">
        <f>D12/0.05</f>
        <v/>
      </c>
    </row>
    <row r="13">
      <c r="A13" t="inlineStr">
        <is>
          <t>What Your ADHD Child Wishes You Knew (Saline)</t>
        </is>
      </c>
      <c r="B13" t="n">
        <v>1.99</v>
      </c>
      <c r="C13" t="n">
        <v>3.5</v>
      </c>
      <c r="D13" t="n">
        <v>9</v>
      </c>
      <c r="E13" t="n">
        <v>2018</v>
      </c>
      <c r="F13">
        <f>D13/0.02</f>
        <v/>
      </c>
      <c r="G13">
        <f>D13/0.05</f>
        <v/>
      </c>
    </row>
    <row r="14">
      <c r="A14" t="inlineStr">
        <is>
          <t>Parenting Your Child With ADHD (Wiener)</t>
        </is>
      </c>
      <c r="B14" t="n">
        <v>10.99</v>
      </c>
      <c r="C14" t="n">
        <v>2.5</v>
      </c>
      <c r="D14" t="n">
        <v>9</v>
      </c>
      <c r="E14" t="n">
        <v>2012</v>
      </c>
      <c r="F14">
        <f>D14/0.02</f>
        <v/>
      </c>
      <c r="G14">
        <f>D14/0.05</f>
        <v/>
      </c>
    </row>
    <row r="15">
      <c r="A15" t="inlineStr">
        <is>
          <t>The ADD/ADHD Checklist</t>
        </is>
      </c>
      <c r="B15" t="n">
        <v>12.99</v>
      </c>
      <c r="C15" t="n">
        <v>1.5</v>
      </c>
      <c r="D15" t="n">
        <v>9</v>
      </c>
      <c r="E15" t="n">
        <v>2008</v>
      </c>
      <c r="F15">
        <f>D15/0.02</f>
        <v/>
      </c>
      <c r="G15">
        <f>D15/0.05</f>
        <v/>
      </c>
    </row>
    <row r="16">
      <c r="A16" t="inlineStr">
        <is>
          <t>Making the System Work for Your Child with ADHD</t>
        </is>
      </c>
      <c r="B16" t="n">
        <v>17.99</v>
      </c>
      <c r="C16" t="n">
        <v>2.5</v>
      </c>
      <c r="D16" t="n">
        <v>9</v>
      </c>
      <c r="E16" t="n">
        <v>2004</v>
      </c>
      <c r="F16">
        <f>D16/0.02</f>
        <v/>
      </c>
      <c r="G16">
        <f>D16/0.05</f>
        <v/>
      </c>
    </row>
    <row r="17">
      <c r="A17" t="inlineStr">
        <is>
          <t>Empowering Youth with ADHD</t>
        </is>
      </c>
      <c r="B17" t="n">
        <v>19.99</v>
      </c>
      <c r="C17" t="n">
        <v>1.5</v>
      </c>
      <c r="D17" t="n">
        <v>8</v>
      </c>
      <c r="E17" t="n">
        <v>2010</v>
      </c>
      <c r="F17">
        <f>D17/0.02</f>
        <v/>
      </c>
      <c r="G17">
        <f>D17/0.05</f>
        <v/>
      </c>
    </row>
    <row r="18">
      <c r="A18" t="inlineStr">
        <is>
          <t>How to Help Your Child With ADHD</t>
        </is>
      </c>
      <c r="B18" t="n">
        <v>13.99</v>
      </c>
      <c r="C18" t="n">
        <v>1.5</v>
      </c>
      <c r="D18" t="n">
        <v>7</v>
      </c>
      <c r="E18" t="n">
        <v>2012</v>
      </c>
      <c r="F18">
        <f>D18/0.02</f>
        <v/>
      </c>
      <c r="G18">
        <f>D18/0.05</f>
        <v/>
      </c>
    </row>
    <row r="19">
      <c r="A19" t="inlineStr">
        <is>
          <t>The ADHD Advantage (Archer)</t>
        </is>
      </c>
      <c r="B19" t="n">
        <v>7.99</v>
      </c>
      <c r="C19" t="n">
        <v>4</v>
      </c>
      <c r="D19" t="n">
        <v>7</v>
      </c>
      <c r="E19" t="n">
        <v>2015</v>
      </c>
      <c r="F19">
        <f>D19/0.02</f>
        <v/>
      </c>
      <c r="G19">
        <f>D19/0.05</f>
        <v/>
      </c>
    </row>
    <row r="20">
      <c r="A20" t="inlineStr">
        <is>
          <t>Coping with ADHD</t>
        </is>
      </c>
      <c r="B20" t="n">
        <v>2.99</v>
      </c>
      <c r="C20" t="n">
        <v>1.5</v>
      </c>
      <c r="D20" t="n">
        <v>7</v>
      </c>
      <c r="E20" t="n">
        <v>2012</v>
      </c>
      <c r="F20">
        <f>D20/0.02</f>
        <v/>
      </c>
      <c r="G20">
        <f>D20/0.05</f>
        <v/>
      </c>
    </row>
    <row r="21">
      <c r="A21" t="inlineStr">
        <is>
          <t>The ADHD Workbook for Parents (Parker)</t>
        </is>
      </c>
      <c r="B21" t="n">
        <v>23.99</v>
      </c>
      <c r="C21" t="n">
        <v>1</v>
      </c>
      <c r="D21" t="n">
        <v>6</v>
      </c>
      <c r="E21" t="n">
        <v>2006</v>
      </c>
      <c r="F21">
        <f>D21/0.02</f>
        <v/>
      </c>
      <c r="G21">
        <f>D21/0.05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  <col width="48" customWidth="1" min="3" max="3"/>
    <col width="12" customWidth="1" min="4" max="4"/>
  </cols>
  <sheetData>
    <row r="1">
      <c r="A1" s="2" t="inlineStr">
        <is>
          <t>Theme</t>
        </is>
      </c>
      <c r="B1" s="2" t="inlineStr">
        <is>
          <t>Evidence (Goodreads, verified word for word 2026-10-11)</t>
        </is>
      </c>
      <c r="C1" s="2" t="inlineStr">
        <is>
          <t>Title</t>
        </is>
      </c>
      <c r="D1" s="2" t="inlineStr">
        <is>
          <t>Source type</t>
        </is>
      </c>
    </row>
    <row r="2">
      <c r="A2" t="inlineStr">
        <is>
          <t>Not actionable</t>
        </is>
      </c>
      <c r="B2" t="inlineStr">
        <is>
          <t>"There are very few actionable strategies or fresh ideas that would actually support a parent dealing with the day-to-day realities of raising a child with ADHD." (Steph B, 2025-07-21)</t>
        </is>
      </c>
      <c r="C2" t="inlineStr">
        <is>
          <t>Parenting ADHD Guide (Bass) 220pp</t>
        </is>
      </c>
      <c r="D2" t="inlineStr">
        <is>
          <t>Goodreads</t>
        </is>
      </c>
    </row>
    <row r="3">
      <c r="A3" t="inlineStr">
        <is>
          <t>Not actionable</t>
        </is>
      </c>
      <c r="B3" t="inlineStr">
        <is>
          <t>"This book will not help your adhd child overcome the things they struggle with but just make you both frustrated" (Erika Smith, 2023-10-27)</t>
        </is>
      </c>
      <c r="C3" t="inlineStr">
        <is>
          <t>ADHD Workbook for Kids (Shapiro) 184pp</t>
        </is>
      </c>
      <c r="D3" t="inlineStr">
        <is>
          <t>Goodreads</t>
        </is>
      </c>
    </row>
    <row r="4">
      <c r="A4" t="inlineStr">
        <is>
          <t>Generic / Googleable</t>
        </is>
      </c>
      <c r="B4" t="inlineStr">
        <is>
          <t>"It's nothing you can't find in a free Google search and save yourself the money and time in reading it." (Kelly O'Banner, 2023-10-12)</t>
        </is>
      </c>
      <c r="C4" t="inlineStr">
        <is>
          <t>ADHD Supporting a Hyperactive Child (Payne)</t>
        </is>
      </c>
      <c r="D4" t="inlineStr">
        <is>
          <t>Goodreads</t>
        </is>
      </c>
    </row>
    <row r="5">
      <c r="A5" t="inlineStr">
        <is>
          <t>Trust: AI-written</t>
        </is>
      </c>
      <c r="B5" t="inlineStr">
        <is>
          <t>"Complete garbage. Sounds like a book written by AI fed only the Wikipedia page on ADHD." (Jac, 2023-11-16)</t>
        </is>
      </c>
      <c r="C5" t="inlineStr">
        <is>
          <t>ADHD Raising an Explosive Child (Brain) 257pp</t>
        </is>
      </c>
      <c r="D5" t="inlineStr">
        <is>
          <t>Goodreads</t>
        </is>
      </c>
    </row>
    <row r="6">
      <c r="A6" t="inlineStr">
        <is>
          <t>Editing</t>
        </is>
      </c>
      <c r="B6" t="inlineStr">
        <is>
          <t>"Honestly, there are so many grammatical errors in this book it feels like a rough draft." (Mikelle, 2020-12-02)</t>
        </is>
      </c>
      <c r="C6" t="inlineStr">
        <is>
          <t>same</t>
        </is>
      </c>
      <c r="D6" t="inlineStr">
        <is>
          <t>Goodreads</t>
        </is>
      </c>
    </row>
    <row r="7">
      <c r="A7" t="inlineStr">
        <is>
          <t>Repetitive</t>
        </is>
      </c>
      <c r="B7" t="inlineStr">
        <is>
          <t>"I had a difficult time with the repetition of prefacing everything that was going to be shared." (Shannon, 2026-01-16)</t>
        </is>
      </c>
      <c r="C7" t="inlineStr">
        <is>
          <t>How to Parent Children with ADHD (Laine) 142pp</t>
        </is>
      </c>
      <c r="D7" t="inlineStr">
        <is>
          <t>Goodreads</t>
        </is>
      </c>
    </row>
    <row r="8">
      <c r="A8" t="inlineStr">
        <is>
          <t>Too wordy for the child</t>
        </is>
      </c>
      <c r="B8" t="inlineStr">
        <is>
          <t>"This book is a bit too wordy for a source that's supposed to help young children struggling with ADHD." (Casseroll, 2026-04-25)</t>
        </is>
      </c>
      <c r="C8" t="inlineStr">
        <is>
          <t>Thriving with ADHD Workbook for Kids</t>
        </is>
      </c>
      <c r="D8" t="inlineStr">
        <is>
          <t>Goodreads</t>
        </is>
      </c>
    </row>
    <row r="9">
      <c r="A9" t="inlineStr">
        <is>
          <t>Too wordy for the child</t>
        </is>
      </c>
      <c r="B9" t="inlineStr">
        <is>
          <t>"my poor little ADHD child could not focus on performing any of the tasks due to all the extra reading involved." (Aimee, 2023-03-11)</t>
        </is>
      </c>
      <c r="C9" t="inlineStr">
        <is>
          <t>same</t>
        </is>
      </c>
      <c r="D9" t="inlineStr">
        <is>
          <t>Goodreads</t>
        </is>
      </c>
    </row>
    <row r="10">
      <c r="A10" t="inlineStr">
        <is>
          <t>Wrong audience voice</t>
        </is>
      </c>
      <c r="B10" t="inlineStr">
        <is>
          <t>"Writing them TO a child with ADHD instead of their parents seems off the mark" (Sarah Stevens)</t>
        </is>
      </c>
      <c r="C10" t="inlineStr">
        <is>
          <t>Learning to Slow Down &amp; Pay Attention 96pp</t>
        </is>
      </c>
      <c r="D10" t="inlineStr">
        <is>
          <t>Goodreads</t>
        </is>
      </c>
    </row>
    <row r="11">
      <c r="A11" t="inlineStr">
        <is>
          <t>Age fit</t>
        </is>
      </c>
      <c r="B11" t="inlineStr">
        <is>
          <t>"many of the things didn't really apply to my kindergartener" (Elizabeth)</t>
        </is>
      </c>
      <c r="C11" t="inlineStr">
        <is>
          <t>same</t>
        </is>
      </c>
      <c r="D11" t="inlineStr">
        <is>
          <t>Goodreads</t>
        </is>
      </c>
    </row>
    <row r="12">
      <c r="A12" t="inlineStr">
        <is>
          <t>Oversimplified</t>
        </is>
      </c>
      <c r="B12" t="inlineStr">
        <is>
          <t>"oversimplifies the complexities of the diagnosis" (Castspells, review text as reported)</t>
        </is>
      </c>
      <c r="C12" t="inlineStr">
        <is>
          <t>same</t>
        </is>
      </c>
      <c r="D12" t="inlineStr">
        <is>
          <t>Goodreads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0" customWidth="1" min="3" max="3"/>
    <col width="80" customWidth="1" min="4" max="4"/>
  </cols>
  <sheetData>
    <row r="1">
      <c r="A1" s="2" t="inlineStr">
        <is>
          <t>Factor</t>
        </is>
      </c>
      <c r="B1" s="2" t="inlineStr">
        <is>
          <t>Weight</t>
        </is>
      </c>
      <c r="C1" s="2" t="inlineStr">
        <is>
          <t>Score 1-10 (editable)</t>
        </is>
      </c>
      <c r="D1" s="2" t="inlineStr">
        <is>
          <t>Basis</t>
        </is>
      </c>
    </row>
    <row r="2">
      <c r="A2" t="inlineStr">
        <is>
          <t>Demand</t>
        </is>
      </c>
      <c r="B2" t="n">
        <v>25</v>
      </c>
      <c r="C2" s="3" t="n">
        <v>6</v>
      </c>
      <c r="D2" t="inlineStr">
        <is>
          <t>Indie print titles BSR 5.3k-20k; Kindle hyperactivity #1 only 7/day</t>
        </is>
      </c>
    </row>
    <row r="3">
      <c r="A3" t="inlineStr">
        <is>
          <t>Cross-platform</t>
        </is>
      </c>
      <c r="B3" t="n">
        <v>10</v>
      </c>
      <c r="C3" s="3" t="n">
        <v>4</v>
      </c>
      <c r="D3" t="inlineStr">
        <is>
          <t>Apple: max 90 ratings on any ADHD parent title; no ADHD chart presence</t>
        </is>
      </c>
    </row>
    <row r="4">
      <c r="A4" t="inlineStr">
        <is>
          <t>Complaint gap</t>
        </is>
      </c>
      <c r="B4" t="n">
        <v>20</v>
      </c>
      <c r="C4" s="3" t="n">
        <v>7</v>
      </c>
      <c r="D4" t="inlineStr">
        <is>
          <t>Repeated across 6+ titles: not actionable, repetitive, too wordy, AI-suspect</t>
        </is>
      </c>
    </row>
    <row r="5">
      <c r="A5" t="inlineStr">
        <is>
          <t>Competition (10=least)</t>
        </is>
      </c>
      <c r="B5" t="n">
        <v>15</v>
      </c>
      <c r="C5" s="3" t="n">
        <v>6</v>
      </c>
      <c r="D5" t="inlineStr">
        <is>
          <t>Indie-friendly; but many cloned 'Parenting Guide' titles</t>
        </is>
      </c>
    </row>
    <row r="6">
      <c r="A6" t="inlineStr">
        <is>
          <t>Trend</t>
        </is>
      </c>
      <c r="B6" t="n">
        <v>10</v>
      </c>
      <c r="C6" s="3" t="n">
        <v>5</v>
      </c>
      <c r="D6" t="inlineStr">
        <is>
          <t>No trend series captured; neutral</t>
        </is>
      </c>
    </row>
    <row r="7">
      <c r="A7" t="inlineStr">
        <is>
          <t>Format fit</t>
        </is>
      </c>
      <c r="B7" t="n">
        <v>10</v>
      </c>
      <c r="C7" s="3" t="n">
        <v>8</v>
      </c>
      <c r="D7" t="inlineStr">
        <is>
          <t>Print workbook native; ebook-only would score 4</t>
        </is>
      </c>
    </row>
    <row r="8">
      <c r="A8" t="inlineStr">
        <is>
          <t>Price &amp; royalty</t>
        </is>
      </c>
      <c r="B8" t="n">
        <v>10</v>
      </c>
      <c r="C8" s="3" t="n">
        <v>7</v>
      </c>
      <c r="D8" t="inlineStr">
        <is>
          <t>Print $14-22 normal; ebook band $2.99-$12.99</t>
        </is>
      </c>
    </row>
    <row r="10">
      <c r="A10" t="inlineStr">
        <is>
          <t>Weighted score (0-100)</t>
        </is>
      </c>
      <c r="C10">
        <f>SUMPRODUCT(B2:B8,C2:C8)/10</f>
        <v/>
      </c>
    </row>
    <row r="11">
      <c r="A11" t="inlineStr">
        <is>
          <t>Tier</t>
        </is>
      </c>
      <c r="C11">
        <f>IF(C10&gt;=75,"A (needs 2+ snapshots)",IF(C10&gt;=60,"B","C"))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2026-10-11T22:41:36Z</dcterms:created>
  <dcterms:modified xmlns:dcterms="http://purl.org/dc/terms/" xmlns:xsi="http://www.w3.org/2001/XMLSchema-instance" xsi:type="dcterms:W3CDTF">2026-10-11T22:41:36Z</dcterms:modified>
</cp:coreProperties>
</file>