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ategory_Screen" sheetId="2" state="visible" r:id="rId4"/>
    <sheet name="Charts_Snapshot" sheetId="3" state="visible" r:id="rId5"/>
    <sheet name="BSR_Table" sheetId="4" state="visible" r:id="rId6"/>
    <sheet name="Sales_Estimates" sheetId="5" state="visible" r:id="rId7"/>
    <sheet name="Category_Competitiveness" sheetId="6" state="visible" r:id="rId8"/>
    <sheet name="Price_KU" sheetId="7" state="visible" r:id="rId9"/>
    <sheet name="Reviews_Themes" sheetId="8" state="visible" r:id="rId10"/>
    <sheet name="Archetypes" sheetId="9" state="visible" r:id="rId11"/>
    <sheet name="Opportunities" sheetId="10" state="visible" r:id="rId12"/>
    <sheet name="KR_Crosscheck" sheetId="11" state="visible" r:id="rId13"/>
    <sheet name="Sources" sheetId="12" state="visible" r:id="rId14"/>
  </sheets>
  <definedNames>
    <definedName function="false" hidden="true" localSheetId="2" name="_xlnm._FilterDatabase" vbProcedure="false">Charts_Snapshot!$A$1:$U$201</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H1" authorId="0">
      <text>
        <r>
          <rPr>
            <sz val="10"/>
            <rFont val="Arial"/>
            <family val="2"/>
          </rPr>
          <t xml:space="preserve">Inferred: "Indie (no publisher listed)" = Kindle page shows no Publisher field (typical of KDP uploads). "Indie imprint (inferred)" = small imprint matching the author or a known indie label. Not confirmed with the author.</t>
        </r>
      </text>
    </comment>
  </commentList>
</comments>
</file>

<file path=xl/sharedStrings.xml><?xml version="1.0" encoding="utf-8"?>
<sst xmlns="http://schemas.openxmlformats.org/spreadsheetml/2006/main" count="3873" uniqueCount="1668">
  <si>
    <t xml:space="preserve">Kindlescout run: AI-feasible Kindle categories (top 20 per category)</t>
  </si>
  <si>
    <t xml:space="preserve">Snapshot captured</t>
  </si>
  <si>
    <t xml:space="preserve">2026-10-07 15:34 UTC (Amazon.com, US store). One snapshot only: BSR moves hourly.</t>
  </si>
  <si>
    <t xml:space="preserve">Scope (per user)</t>
  </si>
  <si>
    <t xml:space="preserve">Top 20 paid Kindle titles per category; only categories where AI-generated digital products can feasibly succeed (see Category_Screen).</t>
  </si>
  <si>
    <t xml:space="preserve">Access mode</t>
  </si>
  <si>
    <t xml:space="preserve">Amazon-native via HTTP (no browser tools). Best Sellers pages + 167 product pages fetched directly with a cookie session. Amazon critical-review filter pages require sign-in, so review mining uses the reviews shown on product pages (2,059 reviews, 123 rated 1-3★) plus Goodreads. Category_Mix (overall Kindle top 100) omitted: out of the user's scope.</t>
  </si>
  <si>
    <t xml:space="preserve">Confidence</t>
  </si>
  <si>
    <t xml:space="preserve">High for snapshot facts (rank, price, KU, pages, publisher field). Medium for sales estimates (third-party BSR curve, ±40% band). Publisher class is inferred where the Kindle page lists no publisher. No concept can reach Tier A until a second snapshot exists.</t>
  </si>
  <si>
    <t xml:space="preserve">KDP rule: 70% royalty band</t>
  </si>
  <si>
    <t xml:space="preserve">Verified 2026-10-07 at kdp.amazon.com/en_US/help/topic/G200634560: "Effective July 7, 2026, the 70% royalty option price band is $2.99-$12.99 on Amazon.com" (was $2.99-$9.99). Delivery costs still apply to 70%; outside the band = 35%.</t>
  </si>
  <si>
    <t xml:space="preserve">KDP rule: delivery cost</t>
  </si>
  <si>
    <t xml:space="preserve">Verified 2026-10-07 at kdp.amazon.com/en_US/help/topic/G200634500: Amazon.com US $0.15/MB (70% option only).</t>
  </si>
  <si>
    <t xml:space="preserve">KDP rule: AI content</t>
  </si>
  <si>
    <t xml:space="preserve">Verified 2026-10-07 at kdp.amazon.com/en_US/help/topic/G200672390: AI-generated text, images or translations must be disclosed "even if you applied substantial edits afterwards"; AI-assisted (you wrote it, AI edited/brainstormed) need not be. Enforcement escalated April 2026 (writeo.app, Aug 2026): undisclosed titles removed without warning. Upload cap of 3 new titles/day confirmed by KDP to the Authors Guild (Sep 2023).</t>
  </si>
  <si>
    <t xml:space="preserve">KDP rule: Nigeria payments</t>
  </si>
  <si>
    <t xml:space="preserve">Verified 2026-10-07 at kdp.amazon.com/en_US/help/topic/GJD7DFFX6X88AK46: Nigeria = wire transfer in NGN for all listed marketplaces; no direct deposit or cheque; nothing for Amazon.pl / .se.</t>
  </si>
  <si>
    <t xml:space="preserve">KU economics</t>
  </si>
  <si>
    <t xml:space="preserve">KDP Select Global Fund Aug 2026: $66.0M, $0.005170 per KENP page (Written Word Media, updated 2026-09-18). KDP site footer: total KDP Select author earnings Aug 2026 $69.4M (includes bonuses).</t>
  </si>
  <si>
    <t xml:space="preserve">TOP FINDINGS</t>
  </si>
  <si>
    <t xml:space="preserve">1. Where indie/AI-era titles actually chart</t>
  </si>
  <si>
    <t xml:space="preserve">Of 200 top-20 slots, indie titles (inferred) hold: Prayer 2, Stress 5, Self-Esteem 5, Motivational 1, Affirmations 2, Journaling 6, Time Mgmt 4, Nutrition 6, Quick &amp; Easy 1, Short Reads 13. Nutrition is the standout: all 6 indie titles were published in the last 18 months.</t>
  </si>
  <si>
    <t xml:space="preserve">2. The winning indie format</t>
  </si>
  <si>
    <t xml:space="preserve">Short-to-mid guides (75-190 pages), $4.99-9.99, enrolled in KU, in a series. Examples: Spiritual Warfare Prayers From the Psalms (75pp, $4.99, BSR 11,842); Let Them Go (81pp, $5.99, BSR 10,862); High-Protein Cottage Cheese Cookbook (100pp, $9.99, BSR 9,789).</t>
  </si>
  <si>
    <t xml:space="preserve">3. Readers now name AI in reviews</t>
  </si>
  <si>
    <t xml:space="preserve">5 of 123 critical reviews on these pages explicitly call the book AI-written, including traditional titles (e.g. "Reads like AI slop."; "Clearly written by AI... some good ideas but weird vibe."). Detectable AI prose is now a review-level liability.</t>
  </si>
  <si>
    <t xml:space="preserve">4. The complaint gap AI-assisted products can fill</t>
  </si>
  <si>
    <t xml:space="preserve">Repetition and padding ("80% of them were the same prompt reworded"), no editing ("numerous instances where the same sentences..."), thin content ("29 pages of lists"), untested recipes, broken bonus downloads. Editorial quality, not volume, is the gap.</t>
  </si>
  <si>
    <t xml:space="preserve">5. Supply is saturated</t>
  </si>
  <si>
    <t xml:space="preserve">Originality.ai: 77% of new "Success" self-help titles (Aug-Nov 2025) and 63% of new religious titles (Jan-Jun 2026) likely AI-written. Likely-AI books averaged 26 reviews vs 129 for human-written. Raw AI output competes in the long tail, not the top 20.</t>
  </si>
  <si>
    <t xml:space="preserve">6. Best concepts (all Tier B pending a 2nd snapshot)</t>
  </si>
  <si>
    <t xml:space="preserve">See Opportunities: (1) Gentle emotional-detachment / overthinking guide series, (2) Trend-diet companion cookbooks with full nutrition panels, (3) Non-clinical ADHD executive-function workbook. Prayer-points series scores just under B but carries a Nigeria-voice edge.</t>
  </si>
  <si>
    <t xml:space="preserve">7. Delivery fees punish image-heavy ebooks</t>
  </si>
  <si>
    <t xml:space="preserve">At $0.15/MB, the 52.8 MB High-Protein Cottage Cheese Cookbook earns more on 35% than on 70% ($3.50 vs ~-$0.93 per sale). Several America's Test Kitchen titles exceed 400 MB. Keep cookbook ebooks image-light (&lt;5 MB) and put photos in print.</t>
  </si>
  <si>
    <t xml:space="preserve">8. $0.99 launch noise</t>
  </si>
  <si>
    <t xml:space="preserve">Four 2026 titles (9 Hidden Switches, One Brave Breath, I Don't Eat That, Cheap and Wicked Good!) rank on $0.99 launch pricing with 10-31 reviews. Treat their ranks as promotion spikes until a second snapshot confirms they hold.</t>
  </si>
  <si>
    <t xml:space="preserve">How to use this workbook</t>
  </si>
  <si>
    <t xml:space="preserve">Blue cells on Sales_Estimates, BSR_Table and Opportunities are editable inputs. Charts_Snapshot is the raw capture. Sales and royalty columns are formulas and recalculate when inputs change.</t>
  </si>
  <si>
    <t xml:space="preserve">Category</t>
  </si>
  <si>
    <t xml:space="preserve">Kindle node</t>
  </si>
  <si>
    <t xml:space="preserve">Decision</t>
  </si>
  <si>
    <t xml:space="preserve">Reason (AI feasibility)</t>
  </si>
  <si>
    <t xml:space="preserve">Prayer</t>
  </si>
  <si>
    <t xml:space="preserve">158562011</t>
  </si>
  <si>
    <t xml:space="preserve">Include</t>
  </si>
  <si>
    <t xml:space="preserve">Formulaic, scripture-anchored structure (prayer points, declarations); indie titles 75-126pp rank in top 20; Nigerian authors already rank (Kindle Ranker list: Tella Olayeri, Tomi Arayomi). Needs a real ministry voice + scripture accuracy check.</t>
  </si>
  <si>
    <t xml:space="preserve">Stress Management</t>
  </si>
  <si>
    <t xml:space="preserve">156574011</t>
  </si>
  <si>
    <t xml:space="preserve">Indie "mental habits" guides (Meurisse, Chidiac) rank top 20; practical-technique format suits AI drafting + heavy human editing. Avoid clinical claims.</t>
  </si>
  <si>
    <t xml:space="preserve">Self-Esteem</t>
  </si>
  <si>
    <t xml:space="preserve">156572011</t>
  </si>
  <si>
    <t xml:space="preserve">Five indie titles in top 20 incl. 2025-26 entrants (Logan West, Laura Falces). Complaints are about repetition and editing, which an edited product can fix.</t>
  </si>
  <si>
    <t xml:space="preserve">Motivational</t>
  </si>
  <si>
    <t xml:space="preserve">156570011</t>
  </si>
  <si>
    <t xml:space="preserve">Include (benchmark)</t>
  </si>
  <si>
    <t xml:space="preserve">Included to test; snapshot shows 19/20 traditional or classic titles, so it serves as a "do not enter head-on" benchmark.</t>
  </si>
  <si>
    <t xml:space="preserve">Affirmations</t>
  </si>
  <si>
    <t xml:space="preserve">202437591011</t>
  </si>
  <si>
    <t xml:space="preserve">Short, list-based format; one 2025 indie title in top 10 whose reviewer suspects AI. New node, not on Kindle Ranker.</t>
  </si>
  <si>
    <t xml:space="preserve">Journaling</t>
  </si>
  <si>
    <t xml:space="preserve">11650899011</t>
  </si>
  <si>
    <t xml:space="preserve">Prompt/template products are AI-friendly; 6/20 indie; low thresholds (Kindle Ranker #1 ~12/day). Ebook format limits writable journals except Kindle Scribe.</t>
  </si>
  <si>
    <t xml:space="preserve">Time Management</t>
  </si>
  <si>
    <t xml:space="preserve">202437598011</t>
  </si>
  <si>
    <t xml:space="preserve">Indie ADHD workbooks and a Kindle Scribe planner rank; ManuscriptReport: 70% indie, #1 needs 29-80/day.</t>
  </si>
  <si>
    <t xml:space="preserve">Nutrition</t>
  </si>
  <si>
    <t xml:space="preserve">156497011</t>
  </si>
  <si>
    <t xml:space="preserve">6/20 indie, all published in the last 18 months: trend-diet companions and cookbooks. Recipes must be human-tested; health claims need care.</t>
  </si>
  <si>
    <t xml:space="preserve">Quick &amp; Easy (Cookbooks)</t>
  </si>
  <si>
    <t xml:space="preserve">156202011</t>
  </si>
  <si>
    <t xml:space="preserve">Recipe format is AI-draftable but buyers punish untested recipes; snapshot shows America's Test Kitchen and big publishers at $0.99-5.99.</t>
  </si>
  <si>
    <t xml:space="preserve">One-Hour Self-Help Short Reads</t>
  </si>
  <si>
    <t xml:space="preserve">8624198011</t>
  </si>
  <si>
    <t xml:space="preserve">Include (funnel only)</t>
  </si>
  <si>
    <t xml:space="preserve">Short-read format is easiest to produce but the #1 sells ~8/day; useful only as a lead-in to a series.</t>
  </si>
  <si>
    <t xml:space="preserve">ADHD (Health)</t>
  </si>
  <si>
    <t xml:space="preserve">11717478011</t>
  </si>
  <si>
    <t xml:space="preserve">Exclude</t>
  </si>
  <si>
    <t xml:space="preserve">Medical/diagnostic claims; buyers and Amazon policy penalise generic content. ADHD productivity is covered via Time Management instead.</t>
  </si>
  <si>
    <t xml:space="preserve">Mental Health / Anxieties &amp; Phobias</t>
  </si>
  <si>
    <t xml:space="preserve">156487011</t>
  </si>
  <si>
    <t xml:space="preserve">Clinical-adjacent claims; high harm risk from generic AI advice.</t>
  </si>
  <si>
    <t xml:space="preserve">Alternative Medicine</t>
  </si>
  <si>
    <t xml:space="preserve">156431011</t>
  </si>
  <si>
    <t xml:space="preserve">Health-claim risk; Amazon content guidelines on misleading content.</t>
  </si>
  <si>
    <t xml:space="preserve">Christian Living</t>
  </si>
  <si>
    <t xml:space="preserve">158327011</t>
  </si>
  <si>
    <t xml:space="preserve">Dominated by traditional publishers and named pastors; author platform matters more than content.</t>
  </si>
  <si>
    <t xml:space="preserve">Business &amp; Money / Success</t>
  </si>
  <si>
    <t xml:space="preserve">-</t>
  </si>
  <si>
    <t xml:space="preserve">Originality.ai found 77% of new "Success" titles likely AI-written (Aug-Nov 2025): saturated; credibility-driven.</t>
  </si>
  <si>
    <t xml:space="preserve">Memoir / Biographies</t>
  </si>
  <si>
    <t xml:space="preserve">Requires a real life story; AI generation is inappropriate and non-competitive.</t>
  </si>
  <si>
    <t xml:space="preserve">Key</t>
  </si>
  <si>
    <t xml:space="preserve">Node</t>
  </si>
  <si>
    <t xml:space="preserve">Rank</t>
  </si>
  <si>
    <t xml:space="preserve">Title</t>
  </si>
  <si>
    <t xml:space="preserve">Author</t>
  </si>
  <si>
    <t xml:space="preserve">Publisher (Kindle page)</t>
  </si>
  <si>
    <t xml:space="preserve">Publisher class (inferred)</t>
  </si>
  <si>
    <t xml:space="preserve">ASIN</t>
  </si>
  <si>
    <t xml:space="preserve">Price ($)</t>
  </si>
  <si>
    <t xml:space="preserve">Stars</t>
  </si>
  <si>
    <t xml:space="preserve">Reviews</t>
  </si>
  <si>
    <t xml:space="preserve">Kindle Store BSR</t>
  </si>
  <si>
    <t xml:space="preserve">KU</t>
  </si>
  <si>
    <t xml:space="preserve">Print length (pp)</t>
  </si>
  <si>
    <t xml:space="preserve">File size (MB)</t>
  </si>
  <si>
    <t xml:space="preserve">Publication date</t>
  </si>
  <si>
    <t xml:space="preserve">Months since publication</t>
  </si>
  <si>
    <t xml:space="preserve">Formats</t>
  </si>
  <si>
    <t xml:space="preserve">Category ranks (product page)</t>
  </si>
  <si>
    <t xml:space="preserve">Product URL</t>
  </si>
  <si>
    <t xml:space="preserve">Capture date</t>
  </si>
  <si>
    <t xml:space="preserve">Contemplative Prayer (Image Classic)</t>
  </si>
  <si>
    <t xml:space="preserve">Thomas Merton</t>
  </si>
  <si>
    <t xml:space="preserve">Image</t>
  </si>
  <si>
    <t xml:space="preserve">Traditional/established press</t>
  </si>
  <si>
    <t xml:space="preserve">B002VD6NJ6</t>
  </si>
  <si>
    <t xml:space="preserve">N</t>
  </si>
  <si>
    <t xml:space="preserve">HARDCOVER, KINDLE, MASS_MARKET_PAPERBACK, PAPERBACK</t>
  </si>
  <si>
    <t xml:space="preserve">#1 in Christian Monasticism &amp; Asceticism (Kindle Store); #1 in Prayer (Kindle Store); #2 in Christian Monasticism &amp; Asceticism (Books)</t>
  </si>
  <si>
    <t xml:space="preserve">https://www.amazon.com/dp/B002VD6NJ6</t>
  </si>
  <si>
    <t xml:space="preserve">Praying Like Monks, Living Like Fools: An Invitation to the Wonder and Mystery of Prayer</t>
  </si>
  <si>
    <t xml:space="preserve">Tyler Staton</t>
  </si>
  <si>
    <t xml:space="preserve">Thomas Nelson</t>
  </si>
  <si>
    <t xml:space="preserve">B09XX2H1KL</t>
  </si>
  <si>
    <t xml:space="preserve">Y</t>
  </si>
  <si>
    <t xml:space="preserve">AUDIO_DOWNLOAD, KINDLE, PAPERBACK, SPIRAL_BOUND</t>
  </si>
  <si>
    <t xml:space="preserve">#1 in Inspirational Prayer; #2 in Prayer (Kindle Store); #2 in Christian Prayer (Kindle Store)</t>
  </si>
  <si>
    <t xml:space="preserve">https://www.amazon.com/dp/B09XX2H1KL</t>
  </si>
  <si>
    <t xml:space="preserve">Praying the Names of God for 52 Weeks, Expanded Edition: A Year-Long Bible Study</t>
  </si>
  <si>
    <t xml:space="preserve">Ann Spangler</t>
  </si>
  <si>
    <t xml:space="preserve">HarperChristian Resources</t>
  </si>
  <si>
    <t xml:space="preserve">B0982Z4P74</t>
  </si>
  <si>
    <t xml:space="preserve">KINDLE, PAPERBACK</t>
  </si>
  <si>
    <t xml:space="preserve">#2 in Christian Prayer Books (Kindle Store); #2 in Prayer (Books); #3 in Christian Prayer Books (Books)</t>
  </si>
  <si>
    <t xml:space="preserve">https://www.amazon.com/dp/B0982Z4P74</t>
  </si>
  <si>
    <t xml:space="preserve">The Familiar Stranger: (Re)Introducing the Holy Spirit to Those in Search of an Experiential Spirituality</t>
  </si>
  <si>
    <t xml:space="preserve">B0CZ42CXKK</t>
  </si>
  <si>
    <t xml:space="preserve">AUDIO_DOWNLOAD, HARDCOVER, KINDLE, PAPERBACK</t>
  </si>
  <si>
    <t xml:space="preserve">#1 in Pneumatology Christian Theology; #2 in Christian Pneumatology; #2 in Inspirational Prayer</t>
  </si>
  <si>
    <t xml:space="preserve">https://www.amazon.com/dp/B0CZ42CXKK</t>
  </si>
  <si>
    <t xml:space="preserve">Breath as Prayer: Calm Your Anxiety, Focus Your Mind, and Renew Your Soul (80+ Breath Prayers and Devotional Meditations)</t>
  </si>
  <si>
    <t xml:space="preserve">Jennifer Tucker</t>
  </si>
  <si>
    <t xml:space="preserve">B09N945BWH</t>
  </si>
  <si>
    <t xml:space="preserve">AUDIOBOOK, AUDIO_DOWNLOAD, HARDCOVER, KINDLE</t>
  </si>
  <si>
    <t xml:space="preserve">#3 in Christian Prayer Books (Kindle Store); #3 in Inspirational Prayer; #3 in Prayer (Books)</t>
  </si>
  <si>
    <t xml:space="preserve">https://www.amazon.com/dp/B09N945BWH</t>
  </si>
  <si>
    <t xml:space="preserve">Spiritual Warfare Prayers From the Psalms: Finding Strength, Protection, and Breakthrough in God's Word - A Devotional Guide for God's Covering, Provision, Wisdom, Courage, and Cleansing</t>
  </si>
  <si>
    <t xml:space="preserve">Ephesians 521 Ministries</t>
  </si>
  <si>
    <t xml:space="preserve">(none listed)</t>
  </si>
  <si>
    <t xml:space="preserve">Indie (no publisher listed)</t>
  </si>
  <si>
    <t xml:space="preserve">B0F4KJLXPQ</t>
  </si>
  <si>
    <t xml:space="preserve">#4 in Christian Prayer Books (Kindle Store); #6 in Prayer (Kindle Store); #8 in Two-Hour Religion &amp; Spirituality Short Reads</t>
  </si>
  <si>
    <t xml:space="preserve">https://www.amazon.com/dp/B0F4KJLXPQ</t>
  </si>
  <si>
    <t xml:space="preserve">Principles of Prayer</t>
  </si>
  <si>
    <t xml:space="preserve">Charles G. Finney</t>
  </si>
  <si>
    <t xml:space="preserve">Bethany House Publishers</t>
  </si>
  <si>
    <t xml:space="preserve">B00B85AIYY</t>
  </si>
  <si>
    <t xml:space="preserve">#5 in Christian Prayer Books (Kindle Store); #6 in Spiritual Devotionals; #7 in Prayer (Kindle Store)</t>
  </si>
  <si>
    <t xml:space="preserve">https://www.amazon.com/dp/B00B85AIYY</t>
  </si>
  <si>
    <t xml:space="preserve">Pray First: The Transformative Power of a Life Built on Prayer</t>
  </si>
  <si>
    <t xml:space="preserve">Chris Hodges</t>
  </si>
  <si>
    <t xml:space="preserve">B0B35VP9G9</t>
  </si>
  <si>
    <t xml:space="preserve">AUDIOBOOK, AUDIO_DOWNLOAD, KINDLE, PAPERBACK</t>
  </si>
  <si>
    <t xml:space="preserve">#4 in Inspirational Prayer; #4 in Hebrew Bible (Old Testament) Meditations; #5 in Christian Old Testament Meditations</t>
  </si>
  <si>
    <t xml:space="preserve">https://www.amazon.com/dp/B0B35VP9G9</t>
  </si>
  <si>
    <t xml:space="preserve">The Game of Life and How to Play It: The Original Unabridged And Complete Edition (Florence Scovel Shinn Classics)</t>
  </si>
  <si>
    <t xml:space="preserve">Florence Scovel Shinn</t>
  </si>
  <si>
    <t xml:space="preserve">Tech Tok Ltd</t>
  </si>
  <si>
    <t xml:space="preserve">Public-domain reprint</t>
  </si>
  <si>
    <t xml:space="preserve">B0CFPY9QTW</t>
  </si>
  <si>
    <t xml:space="preserve">#1 in Religious Studies - Ethics; #7 in Religious Ethics (Books); #9 in Prayer (Kindle Store)</t>
  </si>
  <si>
    <t xml:space="preserve">https://www.amazon.com/dp/B0CFPY9QTW</t>
  </si>
  <si>
    <t xml:space="preserve">A Shepherd Looks at Psalm 23: Discovering God's Love for You (Timeless Faith Classics)</t>
  </si>
  <si>
    <t xml:space="preserve">W. Phillip Keller</t>
  </si>
  <si>
    <t xml:space="preserve">Zondervan</t>
  </si>
  <si>
    <t xml:space="preserve">B001EH5YRM</t>
  </si>
  <si>
    <t xml:space="preserve">AUDIO_DOWNLOAD, HARDCOVER, KINDLE, MASS_MARKET_PAPERBACK</t>
  </si>
  <si>
    <t xml:space="preserve">#2 in Christian Wisdom Literature (Books); #2 in Christian Wisdom Literature (Kindle Store); #4 in Old Testament Meditations</t>
  </si>
  <si>
    <t xml:space="preserve">https://www.amazon.com/dp/B001EH5YRM</t>
  </si>
  <si>
    <t xml:space="preserve">Trusting God with Today: A Daily Devotional for Building Confident Faith and Lasting Joy (365 Devotions - Inspiration for Every Day of the Year) (Devotionals from Charles F. Stanley)</t>
  </si>
  <si>
    <t xml:space="preserve">Charles F. Stanley</t>
  </si>
  <si>
    <t xml:space="preserve">B0BYYWYDFJ</t>
  </si>
  <si>
    <t xml:space="preserve">AUDIO_DOWNLOAD, HARDCOVER, KINDLE</t>
  </si>
  <si>
    <t xml:space="preserve">#7 in Christian New Testament Meditations; #8 in Hebrew Bible (Old Testament) Meditations; #9 in Christian Old Testament Meditations</t>
  </si>
  <si>
    <t xml:space="preserve">https://www.amazon.com/dp/B0BYYWYDFJ</t>
  </si>
  <si>
    <t xml:space="preserve">How to Hear God: A Simple Guide for Normal People</t>
  </si>
  <si>
    <t xml:space="preserve">Pete Greig</t>
  </si>
  <si>
    <t xml:space="preserve">B0982ZQR1C</t>
  </si>
  <si>
    <t xml:space="preserve">#5 in Christian Rites &amp; Ceremonies; #5 in Jesus, the Gospels &amp; Acts (Kindle Store); #6 in Christian Meditation Worship &amp; Devotion (Kindle Store)</t>
  </si>
  <si>
    <t xml:space="preserve">https://www.amazon.com/dp/B0982ZQR1C</t>
  </si>
  <si>
    <t xml:space="preserve">Jesus Listens: Daily Devotional Prayers of Peace, Joy, and Hope (A 365-Day Prayer Book)</t>
  </si>
  <si>
    <t xml:space="preserve">Sarah Young</t>
  </si>
  <si>
    <t xml:space="preserve">B08ZMCQ3VH</t>
  </si>
  <si>
    <t xml:space="preserve">#6 in Prayer (Books); #7 in New Testament Meditations; #7 in Old Testament Meditations</t>
  </si>
  <si>
    <t xml:space="preserve">https://www.amazon.com/dp/B08ZMCQ3VH</t>
  </si>
  <si>
    <t xml:space="preserve">When You Don't Know What to Pray: 100 Essential Prayers for Enduring Life's Storms</t>
  </si>
  <si>
    <t xml:space="preserve">B08BYYYLXJ</t>
  </si>
  <si>
    <t xml:space="preserve">#8 in Christian Prayer Books (Kindle Store); #14 in Prayer (Kindle Store); #20 in Spiritual Devotionals</t>
  </si>
  <si>
    <t xml:space="preserve">https://www.amazon.com/dp/B08BYYYLXJ</t>
  </si>
  <si>
    <t xml:space="preserve">Demons Must Flee: A Deliverance Prayer Book for Casting Out Demons, Unclean Spirits, and Spiritual Warfare</t>
  </si>
  <si>
    <t xml:space="preserve">M. P. Grace</t>
  </si>
  <si>
    <t xml:space="preserve">Armed in Grace</t>
  </si>
  <si>
    <t xml:space="preserve">Indie imprint (inferred)</t>
  </si>
  <si>
    <t xml:space="preserve">B0FVFBJTVD</t>
  </si>
  <si>
    <t xml:space="preserve">#1 in Prayerbooks (Kindle Store); #7 in Prayerbooks (Books); #15 in Prayer (Kindle Store)</t>
  </si>
  <si>
    <t xml:space="preserve">https://www.amazon.com/dp/B0FVFBJTVD</t>
  </si>
  <si>
    <t xml:space="preserve">Devotions for the Fall: Celebrate the Harvest Season with Gratitude and Joy (A 40-Day Devotional)</t>
  </si>
  <si>
    <t xml:space="preserve">Thomas Nelson Gift Books</t>
  </si>
  <si>
    <t xml:space="preserve">B0DBC4MJHZ</t>
  </si>
  <si>
    <t xml:space="preserve">HARDCOVER, KINDLE</t>
  </si>
  <si>
    <t xml:space="preserve">#15 in Hebrew Bible (Old Testament) Meditations; #16 in Christian New Testament Meditations; #16 in Prayer (Kindle Store)</t>
  </si>
  <si>
    <t xml:space="preserve">https://www.amazon.com/dp/B0DBC4MJHZ</t>
  </si>
  <si>
    <t xml:space="preserve">A Return to Love: Reflections on the Principles of A Course in Miracles —A Spiritual Guide to Inner Peace and Fulfillment (The Marianne Williamson Series)</t>
  </si>
  <si>
    <t xml:space="preserve">Marianne Williamson</t>
  </si>
  <si>
    <t xml:space="preserve">HarperOne</t>
  </si>
  <si>
    <t xml:space="preserve">B000VYX944</t>
  </si>
  <si>
    <t xml:space="preserve">#2 in Religious Studies - Psychology; #5 in Psychology &amp; Religion; #5 in Inspirational Prayer</t>
  </si>
  <si>
    <t xml:space="preserve">https://www.amazon.com/dp/B000VYX944</t>
  </si>
  <si>
    <t xml:space="preserve">The Prayer of Jabez: Breaking Through to the Blessed Life (Breakthrough Series Book 1)</t>
  </si>
  <si>
    <t xml:space="preserve">Bruce Wilkinson</t>
  </si>
  <si>
    <t xml:space="preserve">Multnomah</t>
  </si>
  <si>
    <t xml:space="preserve">B003DYGNZ6</t>
  </si>
  <si>
    <t xml:space="preserve">#14 in Two-Hour Self-Help Short Reads; #18 in Two-Hour Religion &amp; Spirituality Short Reads; #18 in Prayer (Kindle Store)</t>
  </si>
  <si>
    <t xml:space="preserve">https://www.amazon.com/dp/B003DYGNZ6</t>
  </si>
  <si>
    <t xml:space="preserve">When We Talk to God: Prayers and Poems for Black Women</t>
  </si>
  <si>
    <t xml:space="preserve">Sharifa Stevens</t>
  </si>
  <si>
    <t xml:space="preserve">B0D8VP8MWB</t>
  </si>
  <si>
    <t xml:space="preserve">#1 in Black &amp; African American Poetry (Books); #2 in Black &amp; African American Poetry (Kindle Store); #8 in Christian Poetry (Kindle Store)</t>
  </si>
  <si>
    <t xml:space="preserve">https://www.amazon.com/dp/B0D8VP8MWB</t>
  </si>
  <si>
    <t xml:space="preserve">The Circle Maker: Praying Circles Around Your Biggest Dreams and Greatest Fears</t>
  </si>
  <si>
    <t xml:space="preserve">Mark Batterson</t>
  </si>
  <si>
    <t xml:space="preserve">B01CXDN6C0</t>
  </si>
  <si>
    <t xml:space="preserve">#9 in Prayer (Books); #11 in Adult Christian Education (Books); #15 in Adult Christian Education (Kindle Store)</t>
  </si>
  <si>
    <t xml:space="preserve">https://www.amazon.com/dp/B01CXDN6C0</t>
  </si>
  <si>
    <t xml:space="preserve">Protocols: An Operating Manual for the Human Body</t>
  </si>
  <si>
    <t xml:space="preserve">Andrew D. Huberman</t>
  </si>
  <si>
    <t xml:space="preserve">S&amp;S/Simon Element</t>
  </si>
  <si>
    <t xml:space="preserve">B0D3JFXBFW</t>
  </si>
  <si>
    <t xml:space="preserve">#1 in Aging &amp; Longevity (Books); #1 in Stress Management (Kindle Store); #1 in Neuroscience (Kindle Store)</t>
  </si>
  <si>
    <t xml:space="preserve">https://www.amazon.com/dp/B0D3JFXBFW</t>
  </si>
  <si>
    <t xml:space="preserve">Stop Letting Everything Affect You: How to break free from overthinking, emotional chaos, and self-sabotage.</t>
  </si>
  <si>
    <t xml:space="preserve">Daniel Chidiac</t>
  </si>
  <si>
    <t xml:space="preserve">Undercover Publishing House Pty Ltd</t>
  </si>
  <si>
    <t xml:space="preserve">B0FGDPP7Q7</t>
  </si>
  <si>
    <t xml:space="preserve">#1 in Self-Esteem (Books); #1 in Emotional Self Help; #2 in Stress Management (Kindle Store)</t>
  </si>
  <si>
    <t xml:space="preserve">https://www.amazon.com/dp/B0FGDPP7Q7</t>
  </si>
  <si>
    <t xml:space="preserve">The Happiness Trap: How to Stop Struggling and Start Living (Second Edition)</t>
  </si>
  <si>
    <t xml:space="preserve">Russ Harris</t>
  </si>
  <si>
    <t xml:space="preserve">Shambhala</t>
  </si>
  <si>
    <t xml:space="preserve">B09XQBVS6B</t>
  </si>
  <si>
    <t xml:space="preserve">AUDIO_DOWNLOAD, KINDLE, PAPERBACK</t>
  </si>
  <si>
    <t xml:space="preserve">#2 in Cognitive Psychology (Kindle Store); #3 in Stress Management (Kindle Store); #5 in Happiness</t>
  </si>
  <si>
    <t xml:space="preserve">https://www.amazon.com/dp/B09XQBVS6B</t>
  </si>
  <si>
    <t xml:space="preserve">Dopamine Detox : A Short Guide to Remove Distractions and Get Your Brain to Do Hard Things (Productivity Series Book 1)</t>
  </si>
  <si>
    <t xml:space="preserve">thibaut  meurisse</t>
  </si>
  <si>
    <t xml:space="preserve">B098MHBF23</t>
  </si>
  <si>
    <t xml:space="preserve">#1 in Two-Hour Self-Help Short Reads; #4 in Stress Management (Kindle Store); #4 in Time Management Self-Help eBooks</t>
  </si>
  <si>
    <t xml:space="preserve">https://www.amazon.com/dp/B098MHBF23</t>
  </si>
  <si>
    <t xml:space="preserve">Winning the War in Your Mind: Change Your Thinking, Change Your Life</t>
  </si>
  <si>
    <t xml:space="preserve">Craig Groeschel</t>
  </si>
  <si>
    <t xml:space="preserve">B08FGJMDF3</t>
  </si>
  <si>
    <t xml:space="preserve">#1 in Cognitive Behavioral Therapy (Kindle Store); #1 in Christian Counseling &amp; Recovery; #2 in Christian Pastoral Counseling</t>
  </si>
  <si>
    <t xml:space="preserve">https://www.amazon.com/dp/B08FGJMDF3</t>
  </si>
  <si>
    <t xml:space="preserve">Making Peace with What I Can’t Control: Find Relief from the Exhaustion of Overthinking, Trying to Fix Others, and Wanting to Figure It All Out</t>
  </si>
  <si>
    <t xml:space="preserve">Lysa TerKeurst</t>
  </si>
  <si>
    <t xml:space="preserve">B0G1K3J2S8</t>
  </si>
  <si>
    <t xml:space="preserve">#1 in Family Conflict Resolution; #1 in Codependency (Kindle Store); #1 in Codependency (Books)</t>
  </si>
  <si>
    <t xml:space="preserve">https://www.amazon.com/dp/B0G1K3J2S8</t>
  </si>
  <si>
    <t xml:space="preserve">How to Keep House While Drowning: A Gentle Approach to Cleaning and Organizing</t>
  </si>
  <si>
    <t xml:space="preserve">KC Davis LPC</t>
  </si>
  <si>
    <t xml:space="preserve">B09JPHQZQZ</t>
  </si>
  <si>
    <t xml:space="preserve">#2 in Attention-Deficit Disorder; #3 in Attention-Deficit/Hyperactivity; #3 in Crafts, Hobbies &amp; Home (Kindle Store)</t>
  </si>
  <si>
    <t xml:space="preserve">https://www.amazon.com/dp/B09JPHQZQZ</t>
  </si>
  <si>
    <t xml:space="preserve">A Walk in the Wood: Meditations on Mindfulness with a Bear Named Pooh</t>
  </si>
  <si>
    <t xml:space="preserve">Dr. Joseph Parent</t>
  </si>
  <si>
    <t xml:space="preserve">Hyperion Avenue Digital</t>
  </si>
  <si>
    <t xml:space="preserve">B0795B84F6</t>
  </si>
  <si>
    <t xml:space="preserve">#1 in Walking (Kindle Store); #2 in Meditation (Kindle Store); #6 in Running &amp; Jogging (Books)</t>
  </si>
  <si>
    <t xml:space="preserve">https://www.amazon.com/dp/B0795B84F6</t>
  </si>
  <si>
    <t xml:space="preserve">Unfu*k Yourself: Get Out of Your Head and into Your Life – The New York Times Bestselling Tough-Love Self-Help Guide to Stop Self-Sabotage and Boost Resilience (Unfu*k Yourself series Book 1)</t>
  </si>
  <si>
    <t xml:space="preserve">Gary John Bishop</t>
  </si>
  <si>
    <t xml:space="preserve">B071F7C5NQ</t>
  </si>
  <si>
    <t xml:space="preserve">#1 in Positive Psychology eBooks; #2 in Family &amp; Personal Growth; #3 in Self-Help Affirmations eBooks</t>
  </si>
  <si>
    <t xml:space="preserve">https://www.amazon.com/dp/B071F7C5NQ</t>
  </si>
  <si>
    <t xml:space="preserve">9 Hidden Switches: Where Suffering Ends and Peace Begins: A Timeless, Body-First Way to Ease Stress, Pain, and Inner Turmoil—and Make Room for Joy, ... Love (The Intelligence of Your Body Book 2)</t>
  </si>
  <si>
    <t xml:space="preserve">LD CHEN</t>
  </si>
  <si>
    <t xml:space="preserve">Oneness Institute LLC</t>
  </si>
  <si>
    <t xml:space="preserve">B0HFS13CPP</t>
  </si>
  <si>
    <t xml:space="preserve">#1 in Pain Management (Kindle Store); #1 in Chronic Pain (Kindle Store); #1 in Mind-Body Connection</t>
  </si>
  <si>
    <t xml:space="preserve">https://www.amazon.com/dp/B0HFS13CPP</t>
  </si>
  <si>
    <t xml:space="preserve">The Anxious Generation: How the Great Rewiring of Childhood Is Causing an Epidemic of Mental Illness</t>
  </si>
  <si>
    <t xml:space="preserve">Jonathan Haidt</t>
  </si>
  <si>
    <t xml:space="preserve">Penguin Press</t>
  </si>
  <si>
    <t xml:space="preserve">B0C9F37G28</t>
  </si>
  <si>
    <t xml:space="preserve">#1 in Parenting Teenagers (Books); #2 in Parenting Teenagers (Kindle Store); #3 in Mental Health (Books)</t>
  </si>
  <si>
    <t xml:space="preserve">https://www.amazon.com/dp/B0C9F37G28</t>
  </si>
  <si>
    <t xml:space="preserve">Everything Is F*cked: Two Transformative Guides to Finding Happiness Amidst Life's Chaos (The Subtle Art of Not Giving a F*ck (2 Book Series))</t>
  </si>
  <si>
    <t xml:space="preserve">Mark Manson</t>
  </si>
  <si>
    <t xml:space="preserve">Harper</t>
  </si>
  <si>
    <t xml:space="preserve">B07DTJ8YNJ</t>
  </si>
  <si>
    <t xml:space="preserve">#1 in Memory Improvement (Kindle Store); #2 in Philosophy &amp; Spiritual Growth; #4 in Pop Culture (Kindle Store)</t>
  </si>
  <si>
    <t xml:space="preserve">https://www.amazon.com/dp/B07DTJ8YNJ</t>
  </si>
  <si>
    <t xml:space="preserve">One Brave Breath: The Owner's Manual for Being Human</t>
  </si>
  <si>
    <t xml:space="preserve">Mike  Wood</t>
  </si>
  <si>
    <t xml:space="preserve">B0HJXZR87G</t>
  </si>
  <si>
    <t xml:space="preserve">#4 in Psychology eBooks on Anxieties &amp; Phobias; #13 in Stress Management (Kindle Store); #42 in Personal Transformation</t>
  </si>
  <si>
    <t xml:space="preserve">https://www.amazon.com/dp/B0HJXZR87G</t>
  </si>
  <si>
    <t xml:space="preserve">Heal Your Hurting Mind: Biblical Hope for Anxiety, Depression, Burnout, and the Emotions No One Talks About</t>
  </si>
  <si>
    <t xml:space="preserve">B0FFSS3M9D</t>
  </si>
  <si>
    <t xml:space="preserve">#2 in Christian Counseling (Kindle Store); #2 in Depression (Kindle Store); #4 in Depression (Books)</t>
  </si>
  <si>
    <t xml:space="preserve">https://www.amazon.com/dp/B0FFSS3M9D</t>
  </si>
  <si>
    <t xml:space="preserve">Unoffendable: How Just One Change Can Make All of Life Better (updated with two new chapters)</t>
  </si>
  <si>
    <t xml:space="preserve">Brant Hansen</t>
  </si>
  <si>
    <t xml:space="preserve">B09ZNNZQ41</t>
  </si>
  <si>
    <t xml:space="preserve">#1 in Anger Management eBooks; #2 in Anger Management Self Help; #4 in Mood Disorders (Kindle Store)</t>
  </si>
  <si>
    <t xml:space="preserve">https://www.amazon.com/dp/B09ZNNZQ41</t>
  </si>
  <si>
    <t xml:space="preserve">Master Your Emotions : A Practical Guide to Overcome Negativity and Better Manage Your Feelings (Mastery Series Book 1)</t>
  </si>
  <si>
    <t xml:space="preserve">Thibaut  Meurisse</t>
  </si>
  <si>
    <t xml:space="preserve">B0HC7X7Z65</t>
  </si>
  <si>
    <t xml:space="preserve">#16 in Stress Management (Kindle Store); #17 in Self-Management Self-Help eBooks; #33 in Emotions Self-Help eBooks</t>
  </si>
  <si>
    <t xml:space="preserve">https://www.amazon.com/dp/B0HC7X7Z65</t>
  </si>
  <si>
    <t xml:space="preserve">The Way of the Wildflower: Gospel Meditations to Unburden Your Anxious Soul</t>
  </si>
  <si>
    <t xml:space="preserve">Ruth Chou Simons</t>
  </si>
  <si>
    <t xml:space="preserve">B0F1FDM1L4</t>
  </si>
  <si>
    <t xml:space="preserve">#1 in Wild Plant Gardening; #2 in New Testament Meditations; #3 in Christian Rites &amp; Ceremonies Books</t>
  </si>
  <si>
    <t xml:space="preserve">https://www.amazon.com/dp/B0F1FDM1L4</t>
  </si>
  <si>
    <t xml:space="preserve">The Art of Manifesting: A Meditative Drawing Practice to Rewire Your Brain and Create Your Reality</t>
  </si>
  <si>
    <t xml:space="preserve">Colette Baron-Reid</t>
  </si>
  <si>
    <t xml:space="preserve">Hay House LLC</t>
  </si>
  <si>
    <t xml:space="preserve">B0DR9S9JY4</t>
  </si>
  <si>
    <t xml:space="preserve">#11 in Creativity Self-Help; #16 in New Age Meditation; #18 in Stress Management (Kindle Store)</t>
  </si>
  <si>
    <t xml:space="preserve">https://www.amazon.com/dp/B0DR9S9JY4</t>
  </si>
  <si>
    <t xml:space="preserve">Organizing for the Rest of Us: 100 Realistic Strategies to Keep Any House Under Control</t>
  </si>
  <si>
    <t xml:space="preserve">Dana K. White</t>
  </si>
  <si>
    <t xml:space="preserve">B08ZMB6XQS</t>
  </si>
  <si>
    <t xml:space="preserve">#1 in Small Space Home Improvements; #3 in Hoarding; #3 in Decorating &amp; Furnishings</t>
  </si>
  <si>
    <t xml:space="preserve">https://www.amazon.com/dp/B08ZMB6XQS</t>
  </si>
  <si>
    <t xml:space="preserve">The Big Leap: Conquer Your Hidden Fear and Take Life to the Next Level—A Transformative Guide to Overcoming Fears and False Beliefs for Personal Growth and Success</t>
  </si>
  <si>
    <t xml:space="preserve">Gay Hendricks</t>
  </si>
  <si>
    <t xml:space="preserve">B0026772QU</t>
  </si>
  <si>
    <t xml:space="preserve">#6 in Personal Success &amp; Spirituality; #8 in Family &amp; Personal Growth; #11 in Personal Transformation &amp; Spirituality</t>
  </si>
  <si>
    <t xml:space="preserve">https://www.amazon.com/dp/B0026772QU</t>
  </si>
  <si>
    <t xml:space="preserve">The Courage to Be Disliked: The Japanese Phenomenon That Shows You How to Change Your Life and Achieve Real Happiness</t>
  </si>
  <si>
    <t xml:space="preserve">Ichiro Kishimi</t>
  </si>
  <si>
    <t xml:space="preserve">Atria Books</t>
  </si>
  <si>
    <t xml:space="preserve">B078MDSV8T</t>
  </si>
  <si>
    <t xml:space="preserve">#1 in Happiness; #1 in Free Will &amp; Determinism Philosophy; #1 in Mood Disorders (Kindle Store)</t>
  </si>
  <si>
    <t xml:space="preserve">https://www.amazon.com/dp/B078MDSV8T</t>
  </si>
  <si>
    <t xml:space="preserve">Daring Greatly: How the Courage to Be Vulnerable Transforms the Way We Live, Love, Parent, and Lead</t>
  </si>
  <si>
    <t xml:space="preserve">Brené Brown</t>
  </si>
  <si>
    <t xml:space="preserve">Avery</t>
  </si>
  <si>
    <t xml:space="preserve">B007P7HRS4</t>
  </si>
  <si>
    <t xml:space="preserve">#1 in Personal Transformation; #1 in Men's Personal Spiritual Growth; #1 in Motivational Growth &amp; Spirituality</t>
  </si>
  <si>
    <t xml:space="preserve">https://www.amazon.com/dp/B007P7HRS4</t>
  </si>
  <si>
    <t xml:space="preserve">Reparenting the Inner Child: The New Science of Our Oldest Wounds and How to Heal Them</t>
  </si>
  <si>
    <t xml:space="preserve">Dr. Nicole LePera</t>
  </si>
  <si>
    <t xml:space="preserve">Flatiron Books</t>
  </si>
  <si>
    <t xml:space="preserve">B0F3WK6FCP</t>
  </si>
  <si>
    <t xml:space="preserve">#3 in Emotions Self-Help eBooks; #4 in Self-Esteem Self-Help; #7 in Dysfunctional Families (Books)</t>
  </si>
  <si>
    <t xml:space="preserve">https://www.amazon.com/dp/B0F3WK6FCP</t>
  </si>
  <si>
    <t xml:space="preserve">Once Upon a Trainwreck: The Fall and Rise of a Child Star</t>
  </si>
  <si>
    <t xml:space="preserve">Christy Carlson Romano</t>
  </si>
  <si>
    <t xml:space="preserve">B0GPGXNH7R</t>
  </si>
  <si>
    <t xml:space="preserve">#3 in Self-Esteem (Books); #5 in Actor &amp; Entertainer Biographies; #5 in Self-Esteem Self-Help</t>
  </si>
  <si>
    <t xml:space="preserve">https://www.amazon.com/dp/B0GPGXNH7R</t>
  </si>
  <si>
    <t xml:space="preserve">The Art of Letting Go: Stop Overthinking, Stop Negative Spirals, and Find Emotional Freedom (The Path to Calm Book 2)</t>
  </si>
  <si>
    <t xml:space="preserve">Nick Trenton</t>
  </si>
  <si>
    <t xml:space="preserve">NTCS Inc.</t>
  </si>
  <si>
    <t xml:space="preserve">B0C6KJ4D2F</t>
  </si>
  <si>
    <t xml:space="preserve">#1 in Neuro-Linguistic Programming; #1 in Neuro-Linguistic Programming (NLP) eBooks; #2 in Psychology of Creativity &amp; Genius</t>
  </si>
  <si>
    <t xml:space="preserve">https://www.amazon.com/dp/B0C6KJ4D2F</t>
  </si>
  <si>
    <t xml:space="preserve">You’re Going to Die and You Haven’t Started Living Yet: Timeless Lessons to Build a Life That Matters</t>
  </si>
  <si>
    <t xml:space="preserve">Laura  Falces</t>
  </si>
  <si>
    <t xml:space="preserve">Kairund Books</t>
  </si>
  <si>
    <t xml:space="preserve">B0GSNTJ1L2</t>
  </si>
  <si>
    <t xml:space="preserve">HARDCOVER, KINDLE, PAPERBACK</t>
  </si>
  <si>
    <t xml:space="preserve">#2 in Self-Management Self-Help eBooks; #7 in Self-Esteem Self-Help; #8 in Personal Transformation</t>
  </si>
  <si>
    <t xml:space="preserve">https://www.amazon.com/dp/B0GSNTJ1L2</t>
  </si>
  <si>
    <t xml:space="preserve">How to Get a Return on Failure: Fail Smarter—Return Stronger</t>
  </si>
  <si>
    <t xml:space="preserve">John C. Maxwell</t>
  </si>
  <si>
    <t xml:space="preserve">Forbes Books</t>
  </si>
  <si>
    <t xml:space="preserve">B0GFXFBSYL</t>
  </si>
  <si>
    <t xml:space="preserve">#1 in Career Advancement &amp; Professional Development eBooks; #1 in Business Leadership Training; #1 in Career Advancement &amp; Professional Development</t>
  </si>
  <si>
    <t xml:space="preserve">https://www.amazon.com/dp/B0GFXFBSYL</t>
  </si>
  <si>
    <t xml:space="preserve">The Honest Enneagram: Know Your Type, Own Your Challenges, Embrace Your Growth</t>
  </si>
  <si>
    <t xml:space="preserve">Sarajane Case</t>
  </si>
  <si>
    <t xml:space="preserve">Andrews McMeel Publishing, LLC</t>
  </si>
  <si>
    <t xml:space="preserve">B085T2P2JV</t>
  </si>
  <si>
    <t xml:space="preserve">#3 in Psychology of Personalities; #3 in Self-Management Self-Help eBooks; #9 in Self-Esteem Self-Help</t>
  </si>
  <si>
    <t xml:space="preserve">https://www.amazon.com/dp/B085T2P2JV</t>
  </si>
  <si>
    <t xml:space="preserve">Stop Overthinking: 23 Techniques to Relieve Stress, Stop Negative Spirals, Declutter Your Mind, and Focus on the Present (The Path to Calm Book 1)</t>
  </si>
  <si>
    <t xml:space="preserve">NCTS Inc.</t>
  </si>
  <si>
    <t xml:space="preserve">B08XPQL61B</t>
  </si>
  <si>
    <t xml:space="preserve">#1 in Dreams (Kindle Store); #2 in Educational Psychology (Kindle Store); #3 in Business Office Skills</t>
  </si>
  <si>
    <t xml:space="preserve">https://www.amazon.com/dp/B08XPQL61B</t>
  </si>
  <si>
    <t xml:space="preserve">Make Your Bed: Little Things That Can Change Your Life...And Maybe the World</t>
  </si>
  <si>
    <t xml:space="preserve">William H.  McRaven</t>
  </si>
  <si>
    <t xml:space="preserve">Grand Central Publishing</t>
  </si>
  <si>
    <t xml:space="preserve">B01KFJGT50</t>
  </si>
  <si>
    <t xml:space="preserve">AUDIO_DOWNLOAD, HARDCOVER, KINDLE, SPIRAL_BOUND</t>
  </si>
  <si>
    <t xml:space="preserve">#1 in Self-Help Affirmations eBooks; #1 in Add Audiobook for $3.99 or Less; #8 in Self-Esteem (Books)</t>
  </si>
  <si>
    <t xml:space="preserve">https://www.amazon.com/dp/B01KFJGT50</t>
  </si>
  <si>
    <t xml:space="preserve">The Power of Now: A Guide to Spiritual Enlightenment</t>
  </si>
  <si>
    <t xml:space="preserve">Eckhart Tolle</t>
  </si>
  <si>
    <t xml:space="preserve">New World Library</t>
  </si>
  <si>
    <t xml:space="preserve">B002361MLA</t>
  </si>
  <si>
    <t xml:space="preserve">#1 in Philosophy &amp; Spiritual Growth; #2 in Self-Help Affirmations eBooks; #2 in Personal Transformation &amp; Spirituality</t>
  </si>
  <si>
    <t xml:space="preserve">https://www.amazon.com/dp/B002361MLA</t>
  </si>
  <si>
    <t xml:space="preserve">Finding Me: An Inspiring Memoir of Overcoming Adversity, Embracing Authenticity, and Celebrating Self-Love</t>
  </si>
  <si>
    <t xml:space="preserve">Viola Davis</t>
  </si>
  <si>
    <t xml:space="preserve">Amistad</t>
  </si>
  <si>
    <t xml:space="preserve">B099WXTZGM</t>
  </si>
  <si>
    <t xml:space="preserve">#1 in Self-Help for Abuse; #3 in Black &amp; African American Biographies &amp; Memoirs; #3 in Black &amp; African American Biographies</t>
  </si>
  <si>
    <t xml:space="preserve">https://www.amazon.com/dp/B099WXTZGM</t>
  </si>
  <si>
    <t xml:space="preserve">Too Sensitive: Rejection, Resilience, and the Science of Feeling Deeply</t>
  </si>
  <si>
    <t xml:space="preserve">Sasha Hamdani MD</t>
  </si>
  <si>
    <t xml:space="preserve">B0G5S4ZSZG</t>
  </si>
  <si>
    <t xml:space="preserve">#6 in Emotional Self Help; #7 in Self-Esteem (Books); #12 in Mental Illness</t>
  </si>
  <si>
    <t xml:space="preserve">https://www.amazon.com/dp/B0G5S4ZSZG</t>
  </si>
  <si>
    <t xml:space="preserve">I Choose Me: Chasing Joy, Finding Purpose &amp; Embracing Reinvention – A Heartfelt Celebrity Memoir and Inspirational Guide to Happiness and Aging with Confidence</t>
  </si>
  <si>
    <t xml:space="preserve">Jennie Garth</t>
  </si>
  <si>
    <t xml:space="preserve">Park Row</t>
  </si>
  <si>
    <t xml:space="preserve">B0FDQSY8WX</t>
  </si>
  <si>
    <t xml:space="preserve">#4 in Motherhood (Kindle Store); #4 in Midlife Self-Help; #11 in Biographies of Actors &amp; Actresses</t>
  </si>
  <si>
    <t xml:space="preserve">https://www.amazon.com/dp/B0FDQSY8WX</t>
  </si>
  <si>
    <t xml:space="preserve">Decluttering at the Speed of Life: Winning Your Never-Ending Battle with Stuff</t>
  </si>
  <si>
    <t xml:space="preserve">B072TMNCBH</t>
  </si>
  <si>
    <t xml:space="preserve">#2 in Hoarding Addiction &amp; Recovery; #2 in Hoarding; #2 in Decorating &amp; Furnishings</t>
  </si>
  <si>
    <t xml:space="preserve">https://www.amazon.com/dp/B072TMNCBH</t>
  </si>
  <si>
    <t xml:space="preserve">Let Them Go: Mastering the Art of Emotional Detachment (The Let Them Emotional Detachment Series Book 1)</t>
  </si>
  <si>
    <t xml:space="preserve">Logan  West</t>
  </si>
  <si>
    <t xml:space="preserve">B0FCQBXL9K</t>
  </si>
  <si>
    <t xml:space="preserve">#7 in Two-Hour Self-Help Short Reads; #19 in Self-Esteem Self-Help; #20 in Emotions Self-Help eBooks</t>
  </si>
  <si>
    <t xml:space="preserve">https://www.amazon.com/dp/B0FCQBXL9K</t>
  </si>
  <si>
    <t xml:space="preserve">Why Has Nobody Told Me This Before?: An International Bestselling Guide to Mental Health and Emotional Resilience from a Clinical Psychologist</t>
  </si>
  <si>
    <t xml:space="preserve">Julie Smith</t>
  </si>
  <si>
    <t xml:space="preserve">B0983L6T32</t>
  </si>
  <si>
    <t xml:space="preserve">#5 in Emotions &amp; Mental Health; #11 in Mate Seeking (Kindle Store); #15 in Mental Illness</t>
  </si>
  <si>
    <t xml:space="preserve">https://www.amazon.com/dp/B0983L6T32</t>
  </si>
  <si>
    <t xml:space="preserve">Man's Search for Meaning</t>
  </si>
  <si>
    <t xml:space="preserve">Viktor E. Frankl</t>
  </si>
  <si>
    <t xml:space="preserve">Beacon Press</t>
  </si>
  <si>
    <t xml:space="preserve">B009U9S6FI</t>
  </si>
  <si>
    <t xml:space="preserve">#1 in Popular Psychology Psychotherapy; #1 in Compulsive Behavior (Books); #1 in Existential Psychology (Books)</t>
  </si>
  <si>
    <t xml:space="preserve">https://www.amazon.com/dp/B009U9S6FI</t>
  </si>
  <si>
    <t xml:space="preserve">The Steps: A Memoir</t>
  </si>
  <si>
    <t xml:space="preserve">Sylvester Stallone</t>
  </si>
  <si>
    <t xml:space="preserve">William Morrow</t>
  </si>
  <si>
    <t xml:space="preserve">B0DVPZ41FQ</t>
  </si>
  <si>
    <t xml:space="preserve">#1 in Motivational Self-Help (Books); #1 in Biographies of Movie Directors; #2 in Biographies of Actors &amp; Actresses</t>
  </si>
  <si>
    <t xml:space="preserve">https://www.amazon.com/dp/B0DVPZ41FQ</t>
  </si>
  <si>
    <t xml:space="preserve">Forgiving What You Can't Forget: Discover How to Move On, Make Peace with Painful Memories, and Create a Life That’s Beautiful Again</t>
  </si>
  <si>
    <t xml:space="preserve">B085XNMMHV</t>
  </si>
  <si>
    <t xml:space="preserve">#1 in Parenting &amp; Relationships (Kindle Store); #1 in Christian Faith (Kindle Store); #1 in Spiritual Gifts</t>
  </si>
  <si>
    <t xml:space="preserve">https://www.amazon.com/dp/B085XNMMHV</t>
  </si>
  <si>
    <t xml:space="preserve">The Comfort Book</t>
  </si>
  <si>
    <t xml:space="preserve">Matt Haig</t>
  </si>
  <si>
    <t xml:space="preserve">Penguin Life</t>
  </si>
  <si>
    <t xml:space="preserve">B08M968WT1</t>
  </si>
  <si>
    <t xml:space="preserve">#1 in Spiritual Healing; #2 in Men's Personal Spiritual Growth; #2 in Motivational Growth &amp; Spirituality</t>
  </si>
  <si>
    <t xml:space="preserve">https://www.amazon.com/dp/B08M968WT1</t>
  </si>
  <si>
    <t xml:space="preserve">The Subtle Art of Not Giving a F*ck: A Counterintuitive Approach to Living a Good Life (Mark Manson Collection Book 1)</t>
  </si>
  <si>
    <t xml:space="preserve">B019MMUA8S</t>
  </si>
  <si>
    <t xml:space="preserve">#1 in Self-Help &amp; Psychology Humor; #2 in Happiness Self-Help; #4 in Happiness</t>
  </si>
  <si>
    <t xml:space="preserve">https://www.amazon.com/dp/B019MMUA8S</t>
  </si>
  <si>
    <t xml:space="preserve">Procrastinators Get Stuff Done: How to Go from Overwhelmed to Finished</t>
  </si>
  <si>
    <t xml:space="preserve">B0GG21ZNJT</t>
  </si>
  <si>
    <t xml:space="preserve">#1 in Self-Help eBooks for Anxieties &amp; Phobias; #1 in Compulsive Behavior Self-Help eBooks; #1 in Time Management Self-Help eBooks</t>
  </si>
  <si>
    <t xml:space="preserve">https://www.amazon.com/dp/B0GG21ZNJT</t>
  </si>
  <si>
    <t xml:space="preserve">Meditations for Mortals: Four Weeks to Embrace Your Limitations and Make Time for What Counts</t>
  </si>
  <si>
    <t xml:space="preserve">Oliver Burkeman</t>
  </si>
  <si>
    <t xml:space="preserve">Farrar, Straus and Giroux</t>
  </si>
  <si>
    <t xml:space="preserve">B0CSBPW9F1</t>
  </si>
  <si>
    <t xml:space="preserve">#3 in Time Management Self-Help eBooks; #5 in Time Management in Business; #6 in Happiness</t>
  </si>
  <si>
    <t xml:space="preserve">https://www.amazon.com/dp/B0CSBPW9F1</t>
  </si>
  <si>
    <t xml:space="preserve">What to Make of a Life: Cliffs, Fog, Fire and the Self-Knowledge Imperative</t>
  </si>
  <si>
    <t xml:space="preserve">Jim Collins</t>
  </si>
  <si>
    <t xml:space="preserve">Harper Edge</t>
  </si>
  <si>
    <t xml:space="preserve">B0FGY8RKCK</t>
  </si>
  <si>
    <t xml:space="preserve">#1 in Lifespan Development; #7 in Happiness; #8 in Personal Success in Business</t>
  </si>
  <si>
    <t xml:space="preserve">https://www.amazon.com/dp/B0FGY8RKCK</t>
  </si>
  <si>
    <t xml:space="preserve">The Laws of Human Nature</t>
  </si>
  <si>
    <t xml:space="preserve">Robert Greene</t>
  </si>
  <si>
    <t xml:space="preserve">Penguin Books</t>
  </si>
  <si>
    <t xml:space="preserve">B07BJLX414</t>
  </si>
  <si>
    <t xml:space="preserve">#2 in Popular Social Psychology &amp; Interactions; #2 in Success Self-Help; #3 in Motivational Management &amp; Leadership</t>
  </si>
  <si>
    <t xml:space="preserve">https://www.amazon.com/dp/B07BJLX414</t>
  </si>
  <si>
    <t xml:space="preserve">The Overthinker's Guide to Making Decisions: How to Make Decisions without Losing Your Mind (Books By Joseph Nguyen)</t>
  </si>
  <si>
    <t xml:space="preserve">Joseph Nguyen</t>
  </si>
  <si>
    <t xml:space="preserve">Authors Equity</t>
  </si>
  <si>
    <t xml:space="preserve">B0DWYG9FPZ</t>
  </si>
  <si>
    <t xml:space="preserve">#1 in Journaling; #5 in Journal Writing Self-Help; #6 in Business Decision-Making</t>
  </si>
  <si>
    <t xml:space="preserve">https://www.amazon.com/dp/B0DWYG9FPZ</t>
  </si>
  <si>
    <t xml:space="preserve">Situated: Find the People and Places That Bring Out Your Best</t>
  </si>
  <si>
    <t xml:space="preserve">Angela Duckworth</t>
  </si>
  <si>
    <t xml:space="preserve">Scribner</t>
  </si>
  <si>
    <t xml:space="preserve">B0GC6V2FDL</t>
  </si>
  <si>
    <t xml:space="preserve">#2 in Cognitive Psychology (Books); #6 in Medical Psychology; #6 in Personal Transformation Self-Help</t>
  </si>
  <si>
    <t xml:space="preserve">https://www.amazon.com/dp/B0GC6V2FDL</t>
  </si>
  <si>
    <t xml:space="preserve">Tame Your Thoughts: Three Tools to Renew Your Mind and Transform Your Life</t>
  </si>
  <si>
    <t xml:space="preserve">Max Lucado</t>
  </si>
  <si>
    <t xml:space="preserve">B0DXCWVTDZ</t>
  </si>
  <si>
    <t xml:space="preserve">#1 in Psychology eBooks on Anxieties &amp; Phobias; #1 in Christian Bible Study Guides (Kindle Store); #2 in Popular Psychology Pathologies</t>
  </si>
  <si>
    <t xml:space="preserve">https://www.amazon.com/dp/B0DXCWVTDZ</t>
  </si>
  <si>
    <t xml:space="preserve">Get Out of Your Head: Stopping the Spiral of Toxic Thoughts</t>
  </si>
  <si>
    <t xml:space="preserve">Jennie Allen</t>
  </si>
  <si>
    <t xml:space="preserve">WaterBrook</t>
  </si>
  <si>
    <t xml:space="preserve">B07TD1G6RT</t>
  </si>
  <si>
    <t xml:space="preserve">#4 in Women's Christian Living (Kindle Store); #5 in Christian Inspiration; #8 in Personal Growth &amp; Christianity</t>
  </si>
  <si>
    <t xml:space="preserve">https://www.amazon.com/dp/B07TD1G6RT</t>
  </si>
  <si>
    <t xml:space="preserve">Rules to Live By: How Extraordinary Lives Define What Really Matters</t>
  </si>
  <si>
    <t xml:space="preserve">Jimmy Chin</t>
  </si>
  <si>
    <t xml:space="preserve">Celadon Books</t>
  </si>
  <si>
    <t xml:space="preserve">B0G752HHMD</t>
  </si>
  <si>
    <t xml:space="preserve">#1 in Traveler &amp; Explorer Biographies; #2 in Adventurer &amp; Explorer Biographies</t>
  </si>
  <si>
    <t xml:space="preserve">https://www.amazon.com/dp/B0G752HHMD</t>
  </si>
  <si>
    <t xml:space="preserve">Tuesdays with Morrie: An Old Man, a Young Man, and Life's Greatest Lesson, 25th Anniversary Edition</t>
  </si>
  <si>
    <t xml:space="preserve">Mitch Albom</t>
  </si>
  <si>
    <t xml:space="preserve">Crown</t>
  </si>
  <si>
    <t xml:space="preserve">B000SEGMAU</t>
  </si>
  <si>
    <t xml:space="preserve">#1 in Educator Biographies; #1 in Biographies of Educators (Kindle Store); #1 in Love &amp; Loss</t>
  </si>
  <si>
    <t xml:space="preserve">https://www.amazon.com/dp/B000SEGMAU</t>
  </si>
  <si>
    <t xml:space="preserve">The Mountain Is You: Transforming Self-Sabotage Into Self-Mastery</t>
  </si>
  <si>
    <t xml:space="preserve">Brianna Wiest</t>
  </si>
  <si>
    <t xml:space="preserve">Thought Catalog Books</t>
  </si>
  <si>
    <t xml:space="preserve">B089DQRDSV</t>
  </si>
  <si>
    <t xml:space="preserve">#4 in Self-Management Self-Help eBooks; #7 in Motivational Self-Help (Books); #13 in Personal Transformation</t>
  </si>
  <si>
    <t xml:space="preserve">https://www.amazon.com/dp/B089DQRDSV</t>
  </si>
  <si>
    <t xml:space="preserve">Big Magic: Creative Living Beyond Fear</t>
  </si>
  <si>
    <t xml:space="preserve">Elizabeth Gilbert</t>
  </si>
  <si>
    <t xml:space="preserve">Riverhead Books</t>
  </si>
  <si>
    <t xml:space="preserve">B00S52M350</t>
  </si>
  <si>
    <t xml:space="preserve">#1 in Creativity Self-Help; #3 in Personal Success &amp; Spirituality; #4 in Spiritual Growth Self-Help</t>
  </si>
  <si>
    <t xml:space="preserve">https://www.amazon.com/dp/B00S52M350</t>
  </si>
  <si>
    <t xml:space="preserve">The Force That Guides The Stars: 108 Quotes from Indian Sage P.R. Sarkar (Yoga Wisdom Series)</t>
  </si>
  <si>
    <t xml:space="preserve">Kate Kusuma Donnelly</t>
  </si>
  <si>
    <t xml:space="preserve">Ananda Arts Fund</t>
  </si>
  <si>
    <t xml:space="preserve">B0HHFM6KS4</t>
  </si>
  <si>
    <t xml:space="preserve">#4 in Self-Help Affirmations eBooks; #27 in Self-Esteem Self-Help; #33 in Spiritual Self-Help (Kindle Store)</t>
  </si>
  <si>
    <t xml:space="preserve">https://www.amazon.com/dp/B0HHFM6KS4</t>
  </si>
  <si>
    <t xml:space="preserve">A Year to Clear: A Daily Guide to Creating Spaciousness in Your Home and Heart (Hierophant Space Clearing)</t>
  </si>
  <si>
    <t xml:space="preserve">Stephanie Bennett Vogt</t>
  </si>
  <si>
    <t xml:space="preserve">Hierophant Publishing</t>
  </si>
  <si>
    <t xml:space="preserve">B0145Z4WZO</t>
  </si>
  <si>
    <t xml:space="preserve">#5 in Self-Help Affirmations eBooks; #9 in Personal Transformation &amp; Spirituality; #27 in Spiritual Growth Self-Help</t>
  </si>
  <si>
    <t xml:space="preserve">https://www.amazon.com/dp/B0145Z4WZO</t>
  </si>
  <si>
    <t xml:space="preserve">The Complete Works of Florence Scovel Shinn: The Game of Life and How to Play It; Your Word Is Your Wand; The Secret Door to Success; and The Power of the Spoken Word</t>
  </si>
  <si>
    <t xml:space="preserve">Grapevine (08th January, 2026)</t>
  </si>
  <si>
    <t xml:space="preserve">B0GFP5XR4R</t>
  </si>
  <si>
    <t xml:space="preserve">#1 in Mysticism (Kindle Store); #6 in Self-Help Affirmations eBooks; #33 in Mysticism (Books)</t>
  </si>
  <si>
    <t xml:space="preserve">https://www.amazon.com/dp/B0GFP5XR4R</t>
  </si>
  <si>
    <t xml:space="preserve">Self-Compassion: The Proven Power of Being Kind to Yourself</t>
  </si>
  <si>
    <t xml:space="preserve">Kristin Neff</t>
  </si>
  <si>
    <t xml:space="preserve">B004JN1DBO</t>
  </si>
  <si>
    <t xml:space="preserve">#7 in Self-Help Affirmations eBooks; #8 in Social Philosophy; #11 in Meditation (Kindle Store)</t>
  </si>
  <si>
    <t xml:space="preserve">https://www.amazon.com/dp/B004JN1DBO</t>
  </si>
  <si>
    <t xml:space="preserve">The Soft Life Handbook: A Feminine Guide to Slow Living, Boundaries, and Romanticizing Your Life</t>
  </si>
  <si>
    <t xml:space="preserve">Airy Fairy Press</t>
  </si>
  <si>
    <t xml:space="preserve">B0FHGR45BK</t>
  </si>
  <si>
    <t xml:space="preserve">#8 in Self-Help Affirmations eBooks; #12 in Two-Hour Self-Help Short Reads; #52 in Self-Esteem Self-Help</t>
  </si>
  <si>
    <t xml:space="preserve">https://www.amazon.com/dp/B0FHGR45BK</t>
  </si>
  <si>
    <t xml:space="preserve">Life's Journeys According to Mister Rogers: Things to Remember Along the Way</t>
  </si>
  <si>
    <t xml:space="preserve">Fred Rogers</t>
  </si>
  <si>
    <t xml:space="preserve">Balance</t>
  </si>
  <si>
    <t xml:space="preserve">B00CKUEVSK</t>
  </si>
  <si>
    <t xml:space="preserve">#9 in Self-Help Affirmations eBooks; #28 in Ethics &amp; Morality; #37 in Parenting (Kindle Store)</t>
  </si>
  <si>
    <t xml:space="preserve">https://www.amazon.com/dp/B00CKUEVSK</t>
  </si>
  <si>
    <t xml:space="preserve">Your Word is Your Wand</t>
  </si>
  <si>
    <t xml:space="preserve">SANAGE PUBLISHING HOUSE LLP</t>
  </si>
  <si>
    <t xml:space="preserve">B08RZBQXRD</t>
  </si>
  <si>
    <t xml:space="preserve">#4 in 90-Minute Self-Help Short Reads; #10 in Self-Help Affirmations eBooks; #64 in Self-Esteem Self-Help</t>
  </si>
  <si>
    <t xml:space="preserve">https://www.amazon.com/dp/B08RZBQXRD</t>
  </si>
  <si>
    <t xml:space="preserve">I’m Still Here: A Dog's Purpose Forever</t>
  </si>
  <si>
    <t xml:space="preserve">Cathryn Michon</t>
  </si>
  <si>
    <t xml:space="preserve">Andrews McMeel Publishing</t>
  </si>
  <si>
    <t xml:space="preserve">B0D82F72YY</t>
  </si>
  <si>
    <t xml:space="preserve">#8 in Pet Dogs; #11 in Self-Help Affirmations eBooks; #17 in Dog Care</t>
  </si>
  <si>
    <t xml:space="preserve">https://www.amazon.com/dp/B0D82F72YY</t>
  </si>
  <si>
    <t xml:space="preserve">Warrior Goddess Wisdom: Daily Inspiration for Women</t>
  </si>
  <si>
    <t xml:space="preserve">HeatherAsh Amara</t>
  </si>
  <si>
    <t xml:space="preserve">B07CV4V8HN</t>
  </si>
  <si>
    <t xml:space="preserve">#3 in New Age Goddesses (Kindle Store); #6 in Shamanism (Kindle Store); #12 in Self-Help Affirmations eBooks</t>
  </si>
  <si>
    <t xml:space="preserve">https://www.amazon.com/dp/B07CV4V8HN</t>
  </si>
  <si>
    <t xml:space="preserve">Earth, Air, Fire &amp; Water: More Techniques of Natural Magic (Llewellyn's Practical Magick Series)</t>
  </si>
  <si>
    <t xml:space="preserve">Scott Cunningham</t>
  </si>
  <si>
    <t xml:space="preserve">Llewellyn Publications</t>
  </si>
  <si>
    <t xml:space="preserve">B00A29FZHC</t>
  </si>
  <si>
    <t xml:space="preserve">#13 in Self-Help Affirmations eBooks; #18 in Alchemy; #20 in Folklore &amp; Mythology</t>
  </si>
  <si>
    <t xml:space="preserve">https://www.amazon.com/dp/B00A29FZHC</t>
  </si>
  <si>
    <t xml:space="preserve">El poder del ahora / The Power of Now: Un camino hacia la realizacion espiritual / A Guide to Spiritual Enlightenment (Spanish Edition)</t>
  </si>
  <si>
    <t xml:space="preserve">B00472O4M2</t>
  </si>
  <si>
    <t xml:space="preserve">#3 in Mysticism &amp; Spirituality; #4 in Society &amp; Social Sciences in Spanish; #7 in Foreign Language Instruction (Books)</t>
  </si>
  <si>
    <t xml:space="preserve">https://www.amazon.com/dp/B00472O4M2</t>
  </si>
  <si>
    <t xml:space="preserve">The Hero Code: Lessons Learned from Lives Well Lived</t>
  </si>
  <si>
    <t xml:space="preserve">Admiral William H. McRaven</t>
  </si>
  <si>
    <t xml:space="preserve">B08GKDJ6RQ</t>
  </si>
  <si>
    <t xml:space="preserve">#15 in Self-Help Affirmations eBooks; #19 in Biographies of the Military Navy; #91 in Self-Esteem (Books)</t>
  </si>
  <si>
    <t xml:space="preserve">https://www.amazon.com/dp/B08GKDJ6RQ</t>
  </si>
  <si>
    <t xml:space="preserve">You Can Heal Your Life</t>
  </si>
  <si>
    <t xml:space="preserve">Louise L. Hay</t>
  </si>
  <si>
    <t xml:space="preserve">B000SEHQ96</t>
  </si>
  <si>
    <t xml:space="preserve">#10 in New Thought; #16 in Self-Help Affirmations eBooks; #20 in Love &amp; Loss</t>
  </si>
  <si>
    <t xml:space="preserve">https://www.amazon.com/dp/B000SEHQ96</t>
  </si>
  <si>
    <t xml:space="preserve">As a Man Thinketh | Complete and Annotated | Includes Commentary, Historical Context and the Life of James Allen</t>
  </si>
  <si>
    <t xml:space="preserve">James Allen</t>
  </si>
  <si>
    <t xml:space="preserve">King Solomon</t>
  </si>
  <si>
    <t xml:space="preserve">B0FHWR7LKY</t>
  </si>
  <si>
    <t xml:space="preserve">#17 in Self-Help Affirmations eBooks; #104 in Education &amp; Teaching (Kindle Store); #130 in Self-Esteem Self-Help</t>
  </si>
  <si>
    <t xml:space="preserve">https://www.amazon.com/dp/B0FHWR7LKY</t>
  </si>
  <si>
    <t xml:space="preserve">The Game of Life &amp; How to Play It: A Guide to Divine Abundance</t>
  </si>
  <si>
    <t xml:space="preserve">Public-domain/derivative (inferred)</t>
  </si>
  <si>
    <t xml:space="preserve">B0F67LP667</t>
  </si>
  <si>
    <t xml:space="preserve">#18 in Self-Help Affirmations eBooks; #77 in Spiritual Self-Help (Books); #117 in Happiness Self-Help</t>
  </si>
  <si>
    <t xml:space="preserve">https://www.amazon.com/dp/B0F67LP667</t>
  </si>
  <si>
    <t xml:space="preserve">Life Is Hard. God Is Good. Let's Dance.: Experiencing Real Joy in a World Gone Mad</t>
  </si>
  <si>
    <t xml:space="preserve">B0BYYXTNQ2</t>
  </si>
  <si>
    <t xml:space="preserve">#19 in Self-Help Affirmations eBooks; #42 in Social Issues &amp; Christianity; #61 in Christian Families</t>
  </si>
  <si>
    <t xml:space="preserve">https://www.amazon.com/dp/B0BYYXTNQ2</t>
  </si>
  <si>
    <t xml:space="preserve">Stop Doing That Sh*t: End Self-Sabotage and Demand Your Life Back (Unfu*k Yourself series Book 2)</t>
  </si>
  <si>
    <t xml:space="preserve">B07GNGY9QR</t>
  </si>
  <si>
    <t xml:space="preserve">#7 in Positive Psychology eBooks; #20 in Self-Help Affirmations eBooks; #20 in Personal Success &amp; Spirituality</t>
  </si>
  <si>
    <t xml:space="preserve">https://www.amazon.com/dp/B07GNGY9QR</t>
  </si>
  <si>
    <t xml:space="preserve">The Book of Alchemy: A Creative Practice for an Inspired Life</t>
  </si>
  <si>
    <t xml:space="preserve">Suleika Jaouad</t>
  </si>
  <si>
    <t xml:space="preserve">Random House</t>
  </si>
  <si>
    <t xml:space="preserve">B0DCFKK13P</t>
  </si>
  <si>
    <t xml:space="preserve">#2 in Journaling; #10 in Creativity Self-Help; #12 in Journal Writing Self-Help</t>
  </si>
  <si>
    <t xml:space="preserve">https://www.amazon.com/dp/B0DCFKK13P</t>
  </si>
  <si>
    <t xml:space="preserve">SNR: A dated six-year multilingual (FR/EN/AR) reflection journal (French Edition)</t>
  </si>
  <si>
    <t xml:space="preserve">STORDO</t>
  </si>
  <si>
    <t xml:space="preserve">B0H23JWKMS</t>
  </si>
  <si>
    <t xml:space="preserve">#1 in Personal Development &amp; Self-Help in French; #3 in Journaling; #37 in Spiritual Self-Help (Kindle Store)</t>
  </si>
  <si>
    <t xml:space="preserve">https://www.amazon.com/dp/B0H23JWKMS</t>
  </si>
  <si>
    <t xml:space="preserve">The 5 Levels of Leadership: Proven Steps to Maximize Your Potential</t>
  </si>
  <si>
    <t xml:space="preserve">Center Street</t>
  </si>
  <si>
    <t xml:space="preserve">B004QZ9P7O</t>
  </si>
  <si>
    <t xml:space="preserve">#4 in Journaling; #10 in Christian Prayer (Kindle Store); #11 in Business Teams</t>
  </si>
  <si>
    <t xml:space="preserve">https://www.amazon.com/dp/B004QZ9P7O</t>
  </si>
  <si>
    <t xml:space="preserve">NIV, Beautiful Word Bible, Updated Edition: 600+ Full-Color Illustrated Verses</t>
  </si>
  <si>
    <t xml:space="preserve">B086BNRXM6</t>
  </si>
  <si>
    <t xml:space="preserve">#2 in Color in Art; #5 in Journaling; #8 in New International Christian Bibles</t>
  </si>
  <si>
    <t xml:space="preserve">https://www.amazon.com/dp/B086BNRXM6</t>
  </si>
  <si>
    <t xml:space="preserve">The Creative Cure: How Finding and Freeing Your Inner Artist Can Heal Your Life (Hierophant Creative Healing)</t>
  </si>
  <si>
    <t xml:space="preserve">Jacob Nordby</t>
  </si>
  <si>
    <t xml:space="preserve">B085PZYKTT</t>
  </si>
  <si>
    <t xml:space="preserve">#6 in Journaling; #9 in Psychology of Creativity &amp; Genius; #12 in Developmental Psychology (Kindle Store)</t>
  </si>
  <si>
    <t xml:space="preserve">https://www.amazon.com/dp/B085PZYKTT</t>
  </si>
  <si>
    <t xml:space="preserve">The Internal Family Systems Workbook: A Guide to Discover Your Self and Heal Your Parts (Sounds True Inner Workbooks)</t>
  </si>
  <si>
    <t xml:space="preserve">Richard C. Schwartz</t>
  </si>
  <si>
    <t xml:space="preserve">St. Martin's Essentials</t>
  </si>
  <si>
    <t xml:space="preserve">B0D12S7RSD</t>
  </si>
  <si>
    <t xml:space="preserve">#7 in Journaling; #20 in Journal Writing Self-Help; #24 in Mate Seeking (Kindle Store)</t>
  </si>
  <si>
    <t xml:space="preserve">https://www.amazon.com/dp/B0D12S7RSD</t>
  </si>
  <si>
    <t xml:space="preserve">365 Journal Prompts: Daily Writing Prompts for Personal Development Self-Reflection and Future Vision</t>
  </si>
  <si>
    <t xml:space="preserve">Stacey Myers</t>
  </si>
  <si>
    <t xml:space="preserve">B0D929W8GH</t>
  </si>
  <si>
    <t xml:space="preserve">#3 in Journal Writing; #8 in 90-Minute Self-Help Short Reads; #8 in Journaling</t>
  </si>
  <si>
    <t xml:space="preserve">https://www.amazon.com/dp/B0D929W8GH</t>
  </si>
  <si>
    <t xml:space="preserve">The Daily Stoic Journal: 366 Days of Writing and Reflection on the Art of Living</t>
  </si>
  <si>
    <t xml:space="preserve">Ryan Holiday</t>
  </si>
  <si>
    <t xml:space="preserve">Portfolio</t>
  </si>
  <si>
    <t xml:space="preserve">B0F64WRMN1</t>
  </si>
  <si>
    <t xml:space="preserve">#9 in Journaling; #45 in Journal Writing Self-Help; #74 in Motivational Business Management</t>
  </si>
  <si>
    <t xml:space="preserve">https://www.amazon.com/dp/B0F64WRMN1</t>
  </si>
  <si>
    <t xml:space="preserve">Gilmore Girls: The Rory Gilmore Reading Challenge: The Official Guide to All the Books</t>
  </si>
  <si>
    <t xml:space="preserve">Erika Berlin</t>
  </si>
  <si>
    <t xml:space="preserve">Running Press Adult</t>
  </si>
  <si>
    <t xml:space="preserve">B0CTZMMWNF</t>
  </si>
  <si>
    <t xml:space="preserve">#5 in Comedy Television; #8 in General Books &amp; Reading; #9 in Books &amp; Reading Literary Criticism</t>
  </si>
  <si>
    <t xml:space="preserve">https://www.amazon.com/dp/B0CTZMMWNF</t>
  </si>
  <si>
    <t xml:space="preserve">Layout Ideas 101: Over 100 inspiring journal layouts plus 500 writing prompts (Journal With Purpose)</t>
  </si>
  <si>
    <t xml:space="preserve">Helen Colebrook</t>
  </si>
  <si>
    <t xml:space="preserve">David &amp; Charles</t>
  </si>
  <si>
    <t xml:space="preserve">B093X22MKL</t>
  </si>
  <si>
    <t xml:space="preserve">#11 in Journaling; #18 in Graphic Design Drawing; #31 in Creativity Self-Help</t>
  </si>
  <si>
    <t xml:space="preserve">https://www.amazon.com/dp/B093X22MKL</t>
  </si>
  <si>
    <t xml:space="preserve">Give Me a Year: 12 New Things to Embrace Change and Live Your Best Life</t>
  </si>
  <si>
    <t xml:space="preserve">Shonda Scott</t>
  </si>
  <si>
    <t xml:space="preserve">Wonderwell Press</t>
  </si>
  <si>
    <t xml:space="preserve">B0FN27R863</t>
  </si>
  <si>
    <t xml:space="preserve">#4 in Journal Writing; #7 in Inner Child; #12 in Journaling</t>
  </si>
  <si>
    <t xml:space="preserve">https://www.amazon.com/dp/B0FN27R863</t>
  </si>
  <si>
    <t xml:space="preserve">The Forgiveness Journal: A Guided Journey to Forgiving What You Can't Forget (A Devotional Companion with Journaling Prompts to the #1 New York Times Bestseller)</t>
  </si>
  <si>
    <t xml:space="preserve">B0989HS7WL</t>
  </si>
  <si>
    <t xml:space="preserve">#9 in Divorce (Books); #13 in Journaling; #22 in Adult Christian Education (Kindle Store)</t>
  </si>
  <si>
    <t xml:space="preserve">https://www.amazon.com/dp/B0989HS7WL</t>
  </si>
  <si>
    <t xml:space="preserve">The Oracle of Small Things: A Solo Journaling Game of Attention and Preservation (Oracle Games)</t>
  </si>
  <si>
    <t xml:space="preserve">Kumar Luv</t>
  </si>
  <si>
    <t xml:space="preserve">B0H42CFRWW</t>
  </si>
  <si>
    <t xml:space="preserve">#3 in One-Hour Self-Help Short Reads; #5 in Journal Writing; #14 in Journaling</t>
  </si>
  <si>
    <t xml:space="preserve">https://www.amazon.com/dp/B0H42CFRWW</t>
  </si>
  <si>
    <t xml:space="preserve">Dot Journaling - A Practical Guide: How to Start and Keep the Planner, To-Do List, and Diary That'll Actually Help You Get Your Life Together</t>
  </si>
  <si>
    <t xml:space="preserve">Rachel Wilkerson Miller</t>
  </si>
  <si>
    <t xml:space="preserve">The Experiment, LLC</t>
  </si>
  <si>
    <t xml:space="preserve">B0CQKDCM5X</t>
  </si>
  <si>
    <t xml:space="preserve">#15 in Journaling; #51 in Creativity Self-Help; #250 in Reference eBooks</t>
  </si>
  <si>
    <t xml:space="preserve">https://www.amazon.com/dp/B0CQKDCM5X</t>
  </si>
  <si>
    <t xml:space="preserve">How to Carry What Can't Be Fixed: A Journal for Grief</t>
  </si>
  <si>
    <t xml:space="preserve">Megan Devine LPC</t>
  </si>
  <si>
    <t xml:space="preserve">B09BDTJSN3</t>
  </si>
  <si>
    <t xml:space="preserve">#14 in Grief &amp; Loss (Kindle Store); #16 in Journaling; #38 in Journal Writing Self-Help</t>
  </si>
  <si>
    <t xml:space="preserve">https://www.amazon.com/dp/B09BDTJSN3</t>
  </si>
  <si>
    <t xml:space="preserve">You Deserve This Sh!t: Get Unstuck, Find Your Path, and Become the Best Version of Yourself</t>
  </si>
  <si>
    <t xml:space="preserve">Jordan Tarver</t>
  </si>
  <si>
    <t xml:space="preserve">B094Q75R44</t>
  </si>
  <si>
    <t xml:space="preserve">#7 in Journal Writing; #11 in Inner Child; #13 in Spiritual Growth</t>
  </si>
  <si>
    <t xml:space="preserve">https://www.amazon.com/dp/B094Q75R44</t>
  </si>
  <si>
    <t xml:space="preserve">The Complex PTSD Workbook for Neurodivergent Minds: How to Feel Safer in Your Body and Recover Faster From Triggers, Reduce Overwhelm, and Finally Calm Your System</t>
  </si>
  <si>
    <t xml:space="preserve">Brenda Emerson</t>
  </si>
  <si>
    <t xml:space="preserve">B0GMR9CDX9</t>
  </si>
  <si>
    <t xml:space="preserve">#16 in Cognitive Neuroscience &amp; Cognitive Neuropsychology; #18 in Journaling; #36 in Neuropsychology (Kindle Store)</t>
  </si>
  <si>
    <t xml:space="preserve">https://www.amazon.com/dp/B0GMR9CDX9</t>
  </si>
  <si>
    <t xml:space="preserve">701 LIFE LESSONS: Timeless Lessons for Overcoming Life Challenges in a Chaotic World</t>
  </si>
  <si>
    <t xml:space="preserve">Honerod</t>
  </si>
  <si>
    <t xml:space="preserve">Independently published</t>
  </si>
  <si>
    <t xml:space="preserve">B0BTB4758S</t>
  </si>
  <si>
    <t xml:space="preserve">#8 in Journal Writing; #19 in Journaling; #51 in Two-Hour Self-Help Short Reads</t>
  </si>
  <si>
    <t xml:space="preserve">https://www.amazon.com/dp/B0BTB4758S</t>
  </si>
  <si>
    <t xml:space="preserve">5-Minute Daily Writing Prompts: 501 Prompts to Unleash Creativity and Spark Inspiration</t>
  </si>
  <si>
    <t xml:space="preserve">Tarn Wilson</t>
  </si>
  <si>
    <t xml:space="preserve">Callisto</t>
  </si>
  <si>
    <t xml:space="preserve">B0D8BWLQCQ</t>
  </si>
  <si>
    <t xml:space="preserve">KINDLE, PAPERBACK, SPIRAL_BOUND</t>
  </si>
  <si>
    <t xml:space="preserve">#20 in Journaling; #32 in Fiction Writing Reference (Kindle Store); #98 in Fiction Writing Reference (Books)</t>
  </si>
  <si>
    <t xml:space="preserve">https://www.amazon.com/dp/B0D8BWLQCQ</t>
  </si>
  <si>
    <t xml:space="preserve">Deep Work: Rules for Focused Success in a Distracted World</t>
  </si>
  <si>
    <t xml:space="preserve">Cal Newport</t>
  </si>
  <si>
    <t xml:space="preserve">B00X47ZVXM</t>
  </si>
  <si>
    <t xml:space="preserve">#1 in Workplace Behavior; #1 in Career Guides; #2 in Business Office Skills</t>
  </si>
  <si>
    <t xml:space="preserve">https://www.amazon.com/dp/B00X47ZVXM</t>
  </si>
  <si>
    <t xml:space="preserve">Four Thousand Weeks: Time Management for Mortals</t>
  </si>
  <si>
    <t xml:space="preserve">B08FGV64B1</t>
  </si>
  <si>
    <t xml:space="preserve">#4 in Personal Time Management; #5 in Time Management Self-Help eBooks; #7 in Time Management in Business</t>
  </si>
  <si>
    <t xml:space="preserve">https://www.amazon.com/dp/B08FGV64B1</t>
  </si>
  <si>
    <t xml:space="preserve">Multipliers, Revised and Updated: How the Best Leaders Make Everyone Smarter</t>
  </si>
  <si>
    <t xml:space="preserve">Liz Wiseman</t>
  </si>
  <si>
    <t xml:space="preserve">Harper Business</t>
  </si>
  <si>
    <t xml:space="preserve">B01KT18416</t>
  </si>
  <si>
    <t xml:space="preserve">#2 in Creativity Self-Help; #2 in Career Guides; #6 in Business Management (Kindle Store)</t>
  </si>
  <si>
    <t xml:space="preserve">https://www.amazon.com/dp/B01KT18416</t>
  </si>
  <si>
    <t xml:space="preserve">Fair Play: Reese's Book Club: A Game-Changing Solution for When You Have Too Much to Do (and More Life to Live)</t>
  </si>
  <si>
    <t xml:space="preserve">Eve Rodsky</t>
  </si>
  <si>
    <t xml:space="preserve">G.P. Putnam's Sons</t>
  </si>
  <si>
    <t xml:space="preserve">B07NTX84PY</t>
  </si>
  <si>
    <t xml:space="preserve">#3 in Sociology of Marriage &amp; Family (Kindle Store); #3 in Sociology of Marriage &amp; Family (Books); #7 in Time Management Self-Help eBooks</t>
  </si>
  <si>
    <t xml:space="preserve">https://www.amazon.com/dp/B07NTX84PY</t>
  </si>
  <si>
    <t xml:space="preserve">Eat That Frog!, Fourth Edition: 21 Great Ways to Stop Procrastinating and Get More Done in Less Time</t>
  </si>
  <si>
    <t xml:space="preserve">Brian Tracy</t>
  </si>
  <si>
    <t xml:space="preserve">Berrett-Koehler Publishers</t>
  </si>
  <si>
    <t xml:space="preserve">B0F71YLS2X</t>
  </si>
  <si>
    <t xml:space="preserve">#8 in Time Management Self-Help eBooks; #8 in Time Management (Books); #10 in Time Management in Business</t>
  </si>
  <si>
    <t xml:space="preserve">https://www.amazon.com/dp/B0F71YLS2X</t>
  </si>
  <si>
    <t xml:space="preserve">The Now Habit: A Strategic Program for Overcoming Procrastination and Enjoying Guilt-Free Play</t>
  </si>
  <si>
    <t xml:space="preserve">Neil A. Fiore</t>
  </si>
  <si>
    <t xml:space="preserve">Tarcher</t>
  </si>
  <si>
    <t xml:space="preserve">B001QNVP7M</t>
  </si>
  <si>
    <t xml:space="preserve">#6 in Creativity Self-Help; #9 in Time Management Self-Help eBooks; #12 in Time Management in Business</t>
  </si>
  <si>
    <t xml:space="preserve">https://www.amazon.com/dp/B001QNVP7M</t>
  </si>
  <si>
    <t xml:space="preserve">2026 Planner &amp; Calendar (Kindle Scribe Only)</t>
  </si>
  <si>
    <t xml:space="preserve">S Chandrika Rajan</t>
  </si>
  <si>
    <t xml:space="preserve">B0GHZ3PNJM</t>
  </si>
  <si>
    <t xml:space="preserve">KINDLE</t>
  </si>
  <si>
    <t xml:space="preserve">#1 in Journal Writing; #1 in Digital Media; #10 in Time Management Self-Help eBooks</t>
  </si>
  <si>
    <t xml:space="preserve">https://www.amazon.com/dp/B0GHZ3PNJM</t>
  </si>
  <si>
    <t xml:space="preserve">Influence, New and Expanded: The Essential Guide to the Psychology of Influence and Persuasion in Everyday Life</t>
  </si>
  <si>
    <t xml:space="preserve">Robert B. Cialdini PhD</t>
  </si>
  <si>
    <t xml:space="preserve">B08HZ57WYN</t>
  </si>
  <si>
    <t xml:space="preserve">#1 in Popular Applied Psychology; #1 in Marketing &amp; Consumer Behavior; #2 in Consumer Behavior (Kindle Store)</t>
  </si>
  <si>
    <t xml:space="preserve">https://www.amazon.com/dp/B08HZ57WYN</t>
  </si>
  <si>
    <t xml:space="preserve">ADHD is Awesome: A Guide to (Mostly) Thriving with ADHD</t>
  </si>
  <si>
    <t xml:space="preserve">Penn Holderness</t>
  </si>
  <si>
    <t xml:space="preserve">Harper Horizon</t>
  </si>
  <si>
    <t xml:space="preserve">B0CBH4G8FK</t>
  </si>
  <si>
    <t xml:space="preserve">#1 in Parenting Books on Children with Disabilities; #1 in Parenting Hyperactive Children (Kindle Store); #1 in Disability eBooks</t>
  </si>
  <si>
    <t xml:space="preserve">https://www.amazon.com/dp/B0CBH4G8FK</t>
  </si>
  <si>
    <t xml:space="preserve">Flow: The Psychology of Optimal Experience (Harper Perennial Modern Classics)</t>
  </si>
  <si>
    <t xml:space="preserve">Mihaly Csikszentmihalyi</t>
  </si>
  <si>
    <t xml:space="preserve">HarperCollins e-books</t>
  </si>
  <si>
    <t xml:space="preserve">B000W94FE6</t>
  </si>
  <si>
    <t xml:space="preserve">#1 in Educational Professional Development; #7 in Psychology of Creativity &amp; Genius; #8 in Applied Psychology</t>
  </si>
  <si>
    <t xml:space="preserve">https://www.amazon.com/dp/B000W94FE6</t>
  </si>
  <si>
    <t xml:space="preserve">How to Manage Your Home Without Losing Your Mind: Dealing with Your House's Dirty Little Secrets</t>
  </si>
  <si>
    <t xml:space="preserve">B01CXE9M5E</t>
  </si>
  <si>
    <t xml:space="preserve">#4 in Hoarding Addiction &amp; Recovery; #4 in Hoarding; #7 in Decorating &amp; Furnishings</t>
  </si>
  <si>
    <t xml:space="preserve">https://www.amazon.com/dp/B01CXE9M5E</t>
  </si>
  <si>
    <t xml:space="preserve">Getting Things Done: The Art of Stress-Free Productivity</t>
  </si>
  <si>
    <t xml:space="preserve">David Allen</t>
  </si>
  <si>
    <t xml:space="preserve">B00KWG9M2E</t>
  </si>
  <si>
    <t xml:space="preserve">#6 in Time Management (Books); #11 in Personal Time Management; #16 in Time Management Self-Help eBooks</t>
  </si>
  <si>
    <t xml:space="preserve">https://www.amazon.com/dp/B00KWG9M2E</t>
  </si>
  <si>
    <t xml:space="preserve">The 5AM Club: Own Your Morning. Elevate Your Life.</t>
  </si>
  <si>
    <t xml:space="preserve">Robin Sharma</t>
  </si>
  <si>
    <t xml:space="preserve">HarperCollins Publishers</t>
  </si>
  <si>
    <t xml:space="preserve">B077XCPTLT</t>
  </si>
  <si>
    <t xml:space="preserve">#9 in Personal Time Management; #17 in Time Management Self-Help eBooks; #20 in Time Management in Business</t>
  </si>
  <si>
    <t xml:space="preserve">https://www.amazon.com/dp/B077XCPTLT</t>
  </si>
  <si>
    <t xml:space="preserve">The 7 Habits of Highly Effective People: Guided Journal, Infographics eBook: Inspired by the Wisdom of Stephen R. Covey</t>
  </si>
  <si>
    <t xml:space="preserve">Sean Covey</t>
  </si>
  <si>
    <t xml:space="preserve">Mango Media</t>
  </si>
  <si>
    <t xml:space="preserve">B092QXBBR3</t>
  </si>
  <si>
    <t xml:space="preserve">HARDCOVER, KINDLE, OTHER</t>
  </si>
  <si>
    <t xml:space="preserve">#18 in Time Management Self-Help eBooks; #21 in Self-Management Self-Help eBooks; #22 in Time Management in Business</t>
  </si>
  <si>
    <t xml:space="preserve">https://www.amazon.com/dp/B092QXBBR3</t>
  </si>
  <si>
    <t xml:space="preserve">The Complete CBT Workbook for Adults with ADHD: Exercises to Reduce Stress and Anxiety, Manage Depression, and Build Self-Confidence in Just 15 Minutes a Day</t>
  </si>
  <si>
    <t xml:space="preserve">Grace Ryan</t>
  </si>
  <si>
    <t xml:space="preserve">B0FPR5JMNQ</t>
  </si>
  <si>
    <t xml:space="preserve">#19 in Time Management Self-Help eBooks; #25 in Time Management in Business; #27 in Self-Management Self-Help eBooks</t>
  </si>
  <si>
    <t xml:space="preserve">https://www.amazon.com/dp/B0FPR5JMNQ</t>
  </si>
  <si>
    <t xml:space="preserve">365 Executive Functioning Hacks for Adult ADHD: Simple Strategies to Supercharge Productivity, Improve Time Management and Boost Focus, Making Life Less ... Time (The ADHD Success Toolkit for Adults)</t>
  </si>
  <si>
    <t xml:space="preserve">Caroline Singer</t>
  </si>
  <si>
    <t xml:space="preserve">Seagrove Bay Publishing</t>
  </si>
  <si>
    <t xml:space="preserve">B0F7Y2C64F</t>
  </si>
  <si>
    <t xml:space="preserve">#1 in Memory Disorders; #10 in Attention-Deficit Disorder; #20 in Time Management Self-Help eBooks</t>
  </si>
  <si>
    <t xml:space="preserve">https://www.amazon.com/dp/B0F7Y2C64F</t>
  </si>
  <si>
    <t xml:space="preserve">The Hunger Code: Resetting Your Body's Fat Thermostat in the Age of Ultra-Processed Food (Dr. Jason Fung Code Book 6)</t>
  </si>
  <si>
    <t xml:space="preserve">Dr. Jason Fung</t>
  </si>
  <si>
    <t xml:space="preserve">Greystone Books</t>
  </si>
  <si>
    <t xml:space="preserve">B0FH38HPD8</t>
  </si>
  <si>
    <t xml:space="preserve">#1 in Nutrition (Kindle Store); #1 in Weight Maintenance Diets; #1 in Weight Loss Diets (Kindle Store)</t>
  </si>
  <si>
    <t xml:space="preserve">https://www.amazon.com/dp/B0FH38HPD8</t>
  </si>
  <si>
    <t xml:space="preserve">Fast Like a Girl: A Woman's Guide to Using the Healing Power of Fasting to Burn Fat, Boost Energy,and Balance Hormones</t>
  </si>
  <si>
    <t xml:space="preserve">Mindy Pelz</t>
  </si>
  <si>
    <t xml:space="preserve">B09WMBSV39</t>
  </si>
  <si>
    <t xml:space="preserve">#2 in Nutrition (Kindle Store); #5 in Women's Health (Kindle Store); #7 in Nutrition (Books)</t>
  </si>
  <si>
    <t xml:space="preserve">https://www.amazon.com/dp/B09WMBSV39</t>
  </si>
  <si>
    <t xml:space="preserve">Butter in My Coffee: How a Dinner with an Old Friend Changed Everything This Chemist Knew About Food</t>
  </si>
  <si>
    <t xml:space="preserve">V. E. House PhD</t>
  </si>
  <si>
    <t xml:space="preserve">Victory House Publishing</t>
  </si>
  <si>
    <t xml:space="preserve">B0GS6LRMHT</t>
  </si>
  <si>
    <t xml:space="preserve">#1 in Ketogenic Diet (Kindle Store); #1 in Low Carb Diets (Kindle Store); #1 in Ketogenic Diet (Books)</t>
  </si>
  <si>
    <t xml:space="preserve">https://www.amazon.com/dp/B0GS6LRMHT</t>
  </si>
  <si>
    <t xml:space="preserve">The Tyranny of Thinness: Understanding and Resisting the Pressure to Be Skinny</t>
  </si>
  <si>
    <t xml:space="preserve">Celine Leboeuf PhD</t>
  </si>
  <si>
    <t xml:space="preserve">North Atlantic Books</t>
  </si>
  <si>
    <t xml:space="preserve">B0GFCV81GB</t>
  </si>
  <si>
    <t xml:space="preserve">#4 in Nutrition (Kindle Store); #5 in Feminist Theory (Kindle Store); #12 in Feminist Theory (Books)</t>
  </si>
  <si>
    <t xml:space="preserve">https://www.amazon.com/dp/B0GFCV81GB</t>
  </si>
  <si>
    <t xml:space="preserve">Heal Your Cells: Reversing the Irreversible--A Proven Plan to Heal Faster, Reclaim Energy, and Unlock Longevity</t>
  </si>
  <si>
    <t xml:space="preserve">Dr. Josh Axe</t>
  </si>
  <si>
    <t xml:space="preserve">B0G5X15J4D</t>
  </si>
  <si>
    <t xml:space="preserve">#1 in Nutrition (Books); #2 in Aging &amp; Longevity (Books); #5 in Nutrition (Kindle Store)</t>
  </si>
  <si>
    <t xml:space="preserve">https://www.amazon.com/dp/B0G5X15J4D</t>
  </si>
  <si>
    <t xml:space="preserve">The Anti-Inflammatory Diet &amp; Action Plans: 4-Week Meal Plans to Heal the Immune System and Restore Overall Health</t>
  </si>
  <si>
    <t xml:space="preserve">Dorothy Calimeris</t>
  </si>
  <si>
    <t xml:space="preserve">B0D1LR9L63</t>
  </si>
  <si>
    <t xml:space="preserve">#4 in Healthy Cooking; #6 in Diets; #6 in Nutrition (Kindle Store)</t>
  </si>
  <si>
    <t xml:space="preserve">https://www.amazon.com/dp/B0D1LR9L63</t>
  </si>
  <si>
    <t xml:space="preserve">High-Protein Cottage Cheese Cookbook: From Vintage to Viral - 100+ Easy Recipes That Turn the Internet’s Favorite Ingredient into Real Breakfasts, Dinners &amp; Desserts (Vintage &amp; Viral)</t>
  </si>
  <si>
    <t xml:space="preserve">Alexis Mikayla</t>
  </si>
  <si>
    <t xml:space="preserve">B0H8MDXCZR</t>
  </si>
  <si>
    <t xml:space="preserve">HARDCOVER, KINDLE, PAPERBACK, SPIRAL_BOUND</t>
  </si>
  <si>
    <t xml:space="preserve">#1 in Cooking Cheese &amp; Dairy; #1 in Two-Hour Health, Fitness &amp; Dieting Short Reads; #2 in Cheese &amp; Dairy Cooking</t>
  </si>
  <si>
    <t xml:space="preserve">https://www.amazon.com/dp/B0H8MDXCZR</t>
  </si>
  <si>
    <t xml:space="preserve">PlantYou: Scrappy Cooking: 140+ Plant-Based Zero-Waste Recipes That Are Good for You, Your Wallet, and the Planet</t>
  </si>
  <si>
    <t xml:space="preserve">Carleigh Bodrug</t>
  </si>
  <si>
    <t xml:space="preserve">B0CJ917QX7</t>
  </si>
  <si>
    <t xml:space="preserve">#2 in Vegan Cooking (Kindle Store); #8 in Nutrition (Kindle Store); #12 in Quick &amp; Easy Cooking (Kindle Store)</t>
  </si>
  <si>
    <t xml:space="preserve">https://www.amazon.com/dp/B0CJ917QX7</t>
  </si>
  <si>
    <t xml:space="preserve">Eat to Beat Disease: The New Science of How Your Body Can Heal Itself</t>
  </si>
  <si>
    <t xml:space="preserve">William W Li MD</t>
  </si>
  <si>
    <t xml:space="preserve">B07F69FGHJ</t>
  </si>
  <si>
    <t xml:space="preserve">#1 in Alternative Medicine Healing; #1 in Nutrition for Cancer Prevention; #2 in Cancer (Kindle Store)</t>
  </si>
  <si>
    <t xml:space="preserve">https://www.amazon.com/dp/B07F69FGHJ</t>
  </si>
  <si>
    <t xml:space="preserve">I Don't Eat That: How Seeing Ultra-Processed Food Clearly Ends the Craving</t>
  </si>
  <si>
    <t xml:space="preserve">Brian Sellin</t>
  </si>
  <si>
    <t xml:space="preserve">Intueri Press</t>
  </si>
  <si>
    <t xml:space="preserve">B0H4WZ1QG2</t>
  </si>
  <si>
    <t xml:space="preserve">#1 in Food Additives; #1 in Eating Disorders (Kindle Store); #2 in Food Science (Kindle Store)</t>
  </si>
  <si>
    <t xml:space="preserve">https://www.amazon.com/dp/B0H4WZ1QG2</t>
  </si>
  <si>
    <t xml:space="preserve">Your GLP-1 Game Plan: What Your Doctor Didn't Tell You About How to Eat, Move, and Thrive on Weight Loss Medications—With 50 Easy, Nutritious Recipes</t>
  </si>
  <si>
    <t xml:space="preserve">Heidi Skolnik MS  CDN  FACSM</t>
  </si>
  <si>
    <t xml:space="preserve">Little, Brown Spark</t>
  </si>
  <si>
    <t xml:space="preserve">B0GF1JYYL5</t>
  </si>
  <si>
    <t xml:space="preserve">#1 in General Diabetes Health; #1 in Diabetes (Kindle Store); #2 in Weight Loss Diets (Books)</t>
  </si>
  <si>
    <t xml:space="preserve">https://www.amazon.com/dp/B0GF1JYYL5</t>
  </si>
  <si>
    <t xml:space="preserve">Complete Calisthenics, Second Edition: The Ultimate Guide to Bodyweight Exercise</t>
  </si>
  <si>
    <t xml:space="preserve">Ashley Kalym</t>
  </si>
  <si>
    <t xml:space="preserve">B07Q4LYKX2</t>
  </si>
  <si>
    <t xml:space="preserve">#1 in Weight Training (Kindle Store); #2 in Weight Training (Books); #4 in Sports Training (Kindle Store)</t>
  </si>
  <si>
    <t xml:space="preserve">https://www.amazon.com/dp/B07Q4LYKX2</t>
  </si>
  <si>
    <t xml:space="preserve">Metabolic Freedom: A 30-Day Guide to Restore Your Metabolism, Heal Hormones &amp; Burn Fat</t>
  </si>
  <si>
    <t xml:space="preserve">Ben Azadi</t>
  </si>
  <si>
    <t xml:space="preserve">B0DG19GKSV</t>
  </si>
  <si>
    <t xml:space="preserve">#5 in Weight Maintenance Diets; #5 in Weight Loss Diets (Kindle Store); #10 in Weight Loss Diets (Books)</t>
  </si>
  <si>
    <t xml:space="preserve">https://www.amazon.com/dp/B0DG19GKSV</t>
  </si>
  <si>
    <t xml:space="preserve">Bite Me: Will Tennyson's Guide to Low-Calorie, High-Protein Cooking for Macro Wins</t>
  </si>
  <si>
    <t xml:space="preserve">Will Tennyson</t>
  </si>
  <si>
    <t xml:space="preserve">DK</t>
  </si>
  <si>
    <t xml:space="preserve">B0FD2S2KWM</t>
  </si>
  <si>
    <t xml:space="preserve">HARDCOVER, KINDLE, SPIRAL_BOUND</t>
  </si>
  <si>
    <t xml:space="preserve">#1 in Macrobiotic Nutrition; #1 in Macrobiotics; #3 in Low Fat Diets (Kindle Store)</t>
  </si>
  <si>
    <t xml:space="preserve">https://www.amazon.com/dp/B0FD2S2KWM</t>
  </si>
  <si>
    <t xml:space="preserve">How Not to Die: Revised and Updated: Discover the Foods Scientifically Proven to Prevent and Reverse Disease</t>
  </si>
  <si>
    <t xml:space="preserve">Michael Greger M.D.  FACLM</t>
  </si>
  <si>
    <t xml:space="preserve">B0FCDTXSWK</t>
  </si>
  <si>
    <t xml:space="preserve">#1 in Food Counters; #2 in Weight Loss Food Counters; #11 in Healthy Living</t>
  </si>
  <si>
    <t xml:space="preserve">https://www.amazon.com/dp/B0FCDTXSWK</t>
  </si>
  <si>
    <t xml:space="preserve">Dr. Sean O’Mara Diet: Melt Visceral Fat and Transform Your Body: The Science-Backed Carnivore Diet with Fermented Recipes to Reverse Inflammation, Boost Gut Health, and Build Lean Muscle</t>
  </si>
  <si>
    <t xml:space="preserve">Isolde  Hart</t>
  </si>
  <si>
    <t xml:space="preserve">B0FQ2JB85T</t>
  </si>
  <si>
    <t xml:space="preserve">#2 in Healthy Diets; #7 in Weight Maintenance Diets; #7 in Weight Loss Diets (Kindle Store)</t>
  </si>
  <si>
    <t xml:space="preserve">https://www.amazon.com/dp/B0FQ2JB85T</t>
  </si>
  <si>
    <t xml:space="preserve">Pure, White, and Deadly: How Sugar Is Killing Us and What We Can Do to Stop It</t>
  </si>
  <si>
    <t xml:space="preserve">John Yudkin</t>
  </si>
  <si>
    <t xml:space="preserve">B00CHQOVDC</t>
  </si>
  <si>
    <t xml:space="preserve">#1 in Physiology (Kindle Store); #3 in Food Science (Kindle Store); #10 in Detox &amp; Cleansing Diets</t>
  </si>
  <si>
    <t xml:space="preserve">https://www.amazon.com/dp/B00CHQOVDC</t>
  </si>
  <si>
    <t xml:space="preserve">Fat Chance: Beating the Odds Against Sugar, Processed Food, Obesity, and Disease</t>
  </si>
  <si>
    <t xml:space="preserve">Robert H. Lustig</t>
  </si>
  <si>
    <t xml:space="preserve">B0095ZMPTU</t>
  </si>
  <si>
    <t xml:space="preserve">#1 in Restaurant &amp; Food Industry (Kindle Store); #1 in Agriculture &amp; Food Policy (Kindle Store); #2 in Agriculture &amp; Food Policy (Books)</t>
  </si>
  <si>
    <t xml:space="preserve">https://www.amazon.com/dp/B0095ZMPTU</t>
  </si>
  <si>
    <t xml:space="preserve">The Herbal Apothecary: The ultimate beginner's guide to building your home apothecary and crafting powerful remedies for vibrant health</t>
  </si>
  <si>
    <t xml:space="preserve">Willa Rowden</t>
  </si>
  <si>
    <t xml:space="preserve">Grapevine (16th March, 2026)</t>
  </si>
  <si>
    <t xml:space="preserve">B0GSRQT8KQ</t>
  </si>
  <si>
    <t xml:space="preserve">#1 in Green Lifestyle Self-Help eBooks; #7 in Plants; #9 in Alternative Therapies</t>
  </si>
  <si>
    <t xml:space="preserve">https://www.amazon.com/dp/B0GSRQT8KQ</t>
  </si>
  <si>
    <t xml:space="preserve">Natural Healing Handbook Recipes &amp; Remedies: Your Complete Guide to Using Food as Medicine and Herbal Remedies to Fight Inflammation, Boost Immunity, and Restore Natural Vitality</t>
  </si>
  <si>
    <t xml:space="preserve">Grapevine (12th September, 2025)</t>
  </si>
  <si>
    <t xml:space="preserve">B0FQWSRHHN</t>
  </si>
  <si>
    <t xml:space="preserve">#2 in Herbal Remedies (Kindle Store); #2 in Naturopathy; #11 in Alternative Therapies</t>
  </si>
  <si>
    <t xml:space="preserve">https://www.amazon.com/dp/B0FQWSRHHN</t>
  </si>
  <si>
    <t xml:space="preserve">The Curry Bible: The Ultimate Indian Cookbook Featuring 100 Classic Recipes</t>
  </si>
  <si>
    <t xml:space="preserve">Nisha Katona</t>
  </si>
  <si>
    <t xml:space="preserve">Penguin</t>
  </si>
  <si>
    <t xml:space="preserve">B0G4BVVXXL</t>
  </si>
  <si>
    <t xml:space="preserve">#1 in Quick &amp; Easy Cooking (Kindle Store); #1 in Individual Chefs &amp; Restaurants; #1 in Indian Cooking</t>
  </si>
  <si>
    <t xml:space="preserve">https://www.amazon.com/dp/B0G4BVVXXL</t>
  </si>
  <si>
    <t xml:space="preserve">The Chicken Bible: Say Goodbye to Boring Chicken with 500 Recipes for Easy Dinners, Braises, Wings, Stir-Fries, and So Much More</t>
  </si>
  <si>
    <t xml:space="preserve">America's Test Kitchen</t>
  </si>
  <si>
    <t xml:space="preserve">B08817B9JQ</t>
  </si>
  <si>
    <t xml:space="preserve">#1 in Poultry Cooking; #1 in Cooking Poultry; #2 in Quick &amp; Easy Cooking (Kindle Store)</t>
  </si>
  <si>
    <t xml:space="preserve">https://www.amazon.com/dp/B08817B9JQ</t>
  </si>
  <si>
    <t xml:space="preserve">Cookie Classics Made Easy: One-Bowl Recipes, Perfect Results</t>
  </si>
  <si>
    <t xml:space="preserve">Brandi Scalise</t>
  </si>
  <si>
    <t xml:space="preserve">Storey Publishing, LLC</t>
  </si>
  <si>
    <t xml:space="preserve">B015X2PGGC</t>
  </si>
  <si>
    <t xml:space="preserve">#1 in Dessert Baking (Kindle Store); #2 in Cookie Baking (Kindle Store); #3 in Quick &amp; Easy Cooking (Kindle Store)</t>
  </si>
  <si>
    <t xml:space="preserve">https://www.amazon.com/dp/B015X2PGGC</t>
  </si>
  <si>
    <t xml:space="preserve">1,001 Delicious Soups &amp; Stews: From Elegant Classics to Hearty One-Pot Meals (1,001 Best Recipes)</t>
  </si>
  <si>
    <t xml:space="preserve">Linda R.  Yoakam</t>
  </si>
  <si>
    <t xml:space="preserve">Agate Surrey</t>
  </si>
  <si>
    <t xml:space="preserve">B00R3KYM7M</t>
  </si>
  <si>
    <t xml:space="preserve">#1 in Slow Cooker Recipes (Kindle Store); #2 in Soup &amp; Stew Cooking; #2 in Homebrewing, Distilling &amp; Wine Making</t>
  </si>
  <si>
    <t xml:space="preserve">https://www.amazon.com/dp/B00R3KYM7M</t>
  </si>
  <si>
    <t xml:space="preserve">PlantYou Quickies: 140+ Nourishing Plant-Based Recipes for Busy People</t>
  </si>
  <si>
    <t xml:space="preserve">B0GRTNPGMF</t>
  </si>
  <si>
    <t xml:space="preserve">#1 in Vegetarian &amp; Vegan; #1 in Diets &amp; Weight Loss (Books); #1 in Vegan Cooking (Kindle Store)</t>
  </si>
  <si>
    <t xml:space="preserve">https://www.amazon.com/dp/B0GRTNPGMF</t>
  </si>
  <si>
    <t xml:space="preserve">Feeding Tiny Bellies: School Lunches: Over 100 Lunch Boxes and Snacks for Kids</t>
  </si>
  <si>
    <t xml:space="preserve">Lily Payen</t>
  </si>
  <si>
    <t xml:space="preserve">B0FY4XSSVQ</t>
  </si>
  <si>
    <t xml:space="preserve">KINDLE, OTHER</t>
  </si>
  <si>
    <t xml:space="preserve">#1 in Children &amp; Adolescents' Health eBooks; #1 in Cooking for Kids (Kindle Store); #5 in Cooking for Kids (Books)</t>
  </si>
  <si>
    <t xml:space="preserve">https://www.amazon.com/dp/B0FY4XSSVQ</t>
  </si>
  <si>
    <t xml:space="preserve">Ottolenghi Simple Too: A Cookbook</t>
  </si>
  <si>
    <t xml:space="preserve">Yotam Ottolenghi</t>
  </si>
  <si>
    <t xml:space="preserve">Ten Speed Press</t>
  </si>
  <si>
    <t xml:space="preserve">B0GFBFQ7RT</t>
  </si>
  <si>
    <t xml:space="preserve">#1 in Mediterranean Cooking; #3 in Mediterranean Cooking, Food &amp; Wine; #3 in Individual Chefs &amp; Restaurants</t>
  </si>
  <si>
    <t xml:space="preserve">https://www.amazon.com/dp/B0GFBFQ7RT</t>
  </si>
  <si>
    <t xml:space="preserve">The Ultimate Meal-Prep Cookbook: One Grocery List. A Week of Meals. No Waste.</t>
  </si>
  <si>
    <t xml:space="preserve">B089S5BJVG</t>
  </si>
  <si>
    <t xml:space="preserve">#1 in Professional Cooking in Quantity; #2 in Low Budget Cooking; #4 in Professional High Quantity Cooking</t>
  </si>
  <si>
    <t xml:space="preserve">https://www.amazon.com/dp/B089S5BJVG</t>
  </si>
  <si>
    <t xml:space="preserve">Mediterranean Instant Pot: Easy, Inspired Meals for Eating Well</t>
  </si>
  <si>
    <t xml:space="preserve">B07Q7VYG6B</t>
  </si>
  <si>
    <t xml:space="preserve">#1 in Pressure Cooking Recipes; #3 in Ketogenic Cookbooks (Kindle Store); #3 in Ketogenic Cookbooks (Books)</t>
  </si>
  <si>
    <t xml:space="preserve">https://www.amazon.com/dp/B07Q7VYG6B</t>
  </si>
  <si>
    <t xml:space="preserve">The Complete Cooking for Two Cookbook, 10th Anniversary Edition: 700+ Recipes for Everything You'll Ever Want to Make</t>
  </si>
  <si>
    <t xml:space="preserve">B0CDKR3N5C</t>
  </si>
  <si>
    <t xml:space="preserve">#1 in Cooking for One; #3 in Culinary Arts &amp; Techniques (Kindle Store); #5 in U.S. Regional Cooking</t>
  </si>
  <si>
    <t xml:space="preserve">https://www.amazon.com/dp/B0CDKR3N5C</t>
  </si>
  <si>
    <t xml:space="preserve">Milk Street: Cook What You Have: Make a Meal Out of Almost Anything (A Cookbook)</t>
  </si>
  <si>
    <t xml:space="preserve">Christopher Kimball</t>
  </si>
  <si>
    <t xml:space="preserve">Voracious</t>
  </si>
  <si>
    <t xml:space="preserve">B09RWQCDX9</t>
  </si>
  <si>
    <t xml:space="preserve">#2 in Media Tie-In Cooking; #4 in Gastronomy Essays (Kindle Store); #5 in Individual Chefs &amp; Restaurants</t>
  </si>
  <si>
    <t xml:space="preserve">https://www.amazon.com/dp/B09RWQCDX9</t>
  </si>
  <si>
    <t xml:space="preserve">Curry Guy One Pot: Over 150 Curries and Other Deliciously Spiced Dishes from Around the World</t>
  </si>
  <si>
    <t xml:space="preserve">Dan Toombs</t>
  </si>
  <si>
    <t xml:space="preserve">Quadrille</t>
  </si>
  <si>
    <t xml:space="preserve">B0BSW32B24</t>
  </si>
  <si>
    <t xml:space="preserve">#3 in Indian Cooking; #4 in Indian Cooking, Food &amp; Wine; #13 in Quick &amp; Easy Cooking (Kindle Store)</t>
  </si>
  <si>
    <t xml:space="preserve">https://www.amazon.com/dp/B0BSW32B24</t>
  </si>
  <si>
    <t xml:space="preserve">The Skillet: 200+ Simpler Ways to Make Just About Anything, From Perfect Meals to Breads, Desserts, and More</t>
  </si>
  <si>
    <t xml:space="preserve">B0CRK9VYYH</t>
  </si>
  <si>
    <t xml:space="preserve">#6 in Courses &amp; Dishes; #14 in Quick &amp; Easy Cooking (Kindle Store); #42 in Cooking for One or Two</t>
  </si>
  <si>
    <t xml:space="preserve">https://www.amazon.com/dp/B0CRK9VYYH</t>
  </si>
  <si>
    <t xml:space="preserve">Milk Street Simple</t>
  </si>
  <si>
    <t xml:space="preserve">B0BTZ3QDL8</t>
  </si>
  <si>
    <t xml:space="preserve">#2 in Cooking for One; #6 in Cooking, Food &amp; Wine Reference (Kindle Store); #6 in Individual Chefs &amp; Restaurants</t>
  </si>
  <si>
    <t xml:space="preserve">https://www.amazon.com/dp/B0BTZ3QDL8</t>
  </si>
  <si>
    <t xml:space="preserve">Every Salad Ever: From Grains to Greens and Pasta to Beans Plus Every Salad in Betweens</t>
  </si>
  <si>
    <t xml:space="preserve">Greta Podleski</t>
  </si>
  <si>
    <t xml:space="preserve">Clarkson Potter</t>
  </si>
  <si>
    <t xml:space="preserve">B0GH1CHD22</t>
  </si>
  <si>
    <t xml:space="preserve">#1 in Salad Cooking (Kindle Store); #1 in Vegetable Cooking (Kindle Store); #10 in Salad Cooking (Books)</t>
  </si>
  <si>
    <t xml:space="preserve">https://www.amazon.com/dp/B0GH1CHD22</t>
  </si>
  <si>
    <t xml:space="preserve">Meals in a Jar: Quick and Easy, Just-Add-Water, Homemade Recipes</t>
  </si>
  <si>
    <t xml:space="preserve">Julie Languille</t>
  </si>
  <si>
    <t xml:space="preserve">Ulysses Press</t>
  </si>
  <si>
    <t xml:space="preserve">B00B6TZGTE</t>
  </si>
  <si>
    <t xml:space="preserve">#1 in Canning &amp; Preserving (Kindle Store); #7 in Canning &amp; Preserving (Books); #8 in Courses &amp; Dishes</t>
  </si>
  <si>
    <t xml:space="preserve">https://www.amazon.com/dp/B00B6TZGTE</t>
  </si>
  <si>
    <t xml:space="preserve">Cheap and Wicked Good! 4-Ingredient Budget-Friendly Recipes for Quick and Easy Everyday Meals (Simple and Easy Budget Meals)</t>
  </si>
  <si>
    <t xml:space="preserve">Louise Davidson</t>
  </si>
  <si>
    <t xml:space="preserve">The Cookbook Publisher</t>
  </si>
  <si>
    <t xml:space="preserve">B0HBRK1M7Z</t>
  </si>
  <si>
    <t xml:space="preserve">#4 in Low Budget Cooking; #9 in Courses &amp; Dishes; #18 in Quick &amp; Easy Cooking (Kindle Store)</t>
  </si>
  <si>
    <t xml:space="preserve">https://www.amazon.com/dp/B0HBRK1M7Z</t>
  </si>
  <si>
    <t xml:space="preserve">Simple Dinners Every Day: Simplify your cooking with 80+ fast, low-cost dinner ideas</t>
  </si>
  <si>
    <t xml:space="preserve">Nicole Maguire</t>
  </si>
  <si>
    <t xml:space="preserve">Leap</t>
  </si>
  <si>
    <t xml:space="preserve">B0HC8SKGJ5</t>
  </si>
  <si>
    <t xml:space="preserve">#3 in Health, Fitness &amp; Dieting (Kindle Store); #3 in Cooking for One; #6 in Low Budget Cooking</t>
  </si>
  <si>
    <t xml:space="preserve">https://www.amazon.com/dp/B0HC8SKGJ5</t>
  </si>
  <si>
    <t xml:space="preserve">Cooking for Jeffrey: A Barefoot Contessa Cookbook</t>
  </si>
  <si>
    <t xml:space="preserve">Ina Garten</t>
  </si>
  <si>
    <t xml:space="preserve">B01BAU6EGC</t>
  </si>
  <si>
    <t xml:space="preserve">#8 in Individual Chefs &amp; Restaurants; #8 in U.S. Regional Cooking; #11 in Courses &amp; Dishes</t>
  </si>
  <si>
    <t xml:space="preserve">https://www.amazon.com/dp/B01BAU6EGC</t>
  </si>
  <si>
    <t xml:space="preserve">As a man Thinketh</t>
  </si>
  <si>
    <t xml:space="preserve">Global Publishers</t>
  </si>
  <si>
    <t xml:space="preserve">B0BS1MTGFB</t>
  </si>
  <si>
    <t xml:space="preserve">#1 in One-Hour Self-Help Short Reads; #2 in Tribal &amp; Folk Religions eBooks; #3 in One-Hour Religion &amp; Spirituality Short Reads</t>
  </si>
  <si>
    <t xml:space="preserve">https://www.amazon.com/dp/B0BS1MTGFB</t>
  </si>
  <si>
    <t xml:space="preserve">F*CK ’EM: A ZERO-TOLERANCE GUIDE TO TOXIC PEOPLE</t>
  </si>
  <si>
    <t xml:space="preserve">Lance Mikkel</t>
  </si>
  <si>
    <t xml:space="preserve">B0GH6SFLRS</t>
  </si>
  <si>
    <t xml:space="preserve">#2 in One-Hour Self-Help Short Reads; #8 in Self-Help for Abuse; #15 in Abuse Self-Help</t>
  </si>
  <si>
    <t xml:space="preserve">https://www.amazon.com/dp/B0GH6SFLRS</t>
  </si>
  <si>
    <t xml:space="preserve">3 Chord Songs Book 1: Play 10 Songs on Guitar with the C, D &amp; G Chords - Includes Strum Patterns (3 Chords Songs)</t>
  </si>
  <si>
    <t xml:space="preserve">Eugene Batterson</t>
  </si>
  <si>
    <t xml:space="preserve">B00OO7B0VS</t>
  </si>
  <si>
    <t xml:space="preserve">#2 in Guitar Music; #3 in One-Hour Arts &amp; Photography Short Reads; #4 in One-Hour Self-Help Short Reads</t>
  </si>
  <si>
    <t xml:space="preserve">https://www.amazon.com/dp/B00OO7B0VS</t>
  </si>
  <si>
    <t xml:space="preserve">The Key to Personal Peace</t>
  </si>
  <si>
    <t xml:space="preserve">Billy Graham</t>
  </si>
  <si>
    <t xml:space="preserve">B003DS6OJW</t>
  </si>
  <si>
    <t xml:space="preserve">#5 in One-Hour Self-Help Short Reads; #6 in One-Hour Religion &amp; Spirituality Short Reads; #40 in Men's Inspirational Spirituality</t>
  </si>
  <si>
    <t xml:space="preserve">https://www.amazon.com/dp/B003DS6OJW</t>
  </si>
  <si>
    <t xml:space="preserve">It Will All Work Out: The Freedom of Letting Go</t>
  </si>
  <si>
    <t xml:space="preserve">Kevin Hart</t>
  </si>
  <si>
    <t xml:space="preserve">Amazon Original Stories</t>
  </si>
  <si>
    <t xml:space="preserve">B0C6V57VG8</t>
  </si>
  <si>
    <t xml:space="preserve">#5 in Kindle Singles: Humor &amp; Entertainment; #6 in One-Hour Self-Help Short Reads; #10 in One-Hour Humor &amp; Entertainment Short Reads</t>
  </si>
  <si>
    <t xml:space="preserve">https://www.amazon.com/dp/B0C6V57VG8</t>
  </si>
  <si>
    <t xml:space="preserve">The Power of Now…A Guide to Spiritual Enlightenment... In 15 Minutes - The Inspirational Summary of Eckhart Tolle’s Best Selling Book</t>
  </si>
  <si>
    <t xml:space="preserve">Matthew Davis</t>
  </si>
  <si>
    <t xml:space="preserve">B017DUA3PG</t>
  </si>
  <si>
    <t xml:space="preserve">#2 in Book Notes; #7 in One-Hour Self-Help Short Reads; #298 in Spiritual Self-Help (Kindle Store)</t>
  </si>
  <si>
    <t xml:space="preserve">https://www.amazon.com/dp/B017DUA3PG</t>
  </si>
  <si>
    <t xml:space="preserve">3 Chord Songs Book 2: Play 10 Songs on Guitar with 3 Chords - Includes Strum Patterns (3 Chords Songs)</t>
  </si>
  <si>
    <t xml:space="preserve">B00SDVUMMO</t>
  </si>
  <si>
    <t xml:space="preserve">#5 in One-Hour Arts &amp; Photography Short Reads; #8 in One-Hour Self-Help Short Reads; #10 in Guitar Music</t>
  </si>
  <si>
    <t xml:space="preserve">https://www.amazon.com/dp/B00SDVUMMO</t>
  </si>
  <si>
    <t xml:space="preserve">Magickal Cashbook: Attract Money Fast With Ancient Secrets And Modern Wealth Magick (The Gallery of Magick)</t>
  </si>
  <si>
    <t xml:space="preserve">Damon Brand</t>
  </si>
  <si>
    <t xml:space="preserve">B00K7571CS</t>
  </si>
  <si>
    <t xml:space="preserve">#9 in One-Hour Self-Help Short Reads; #16 in New Age Self-Help; #76 in Occult Occultism</t>
  </si>
  <si>
    <t xml:space="preserve">https://www.amazon.com/dp/B00K7571CS</t>
  </si>
  <si>
    <t xml:space="preserve">12 principios para ser un gran orador : Cómo hablar con seguridad, influir con tus ideas y vencer el miedo escénico (Spanish Edition)</t>
  </si>
  <si>
    <t xml:space="preserve">Bernardo Jurado</t>
  </si>
  <si>
    <t xml:space="preserve">Jurado Grupo Editorial</t>
  </si>
  <si>
    <t xml:space="preserve">B0H647167M</t>
  </si>
  <si>
    <t xml:space="preserve">#6 in One-Hour Teen &amp; Young Adult Short Reads; #10 in One-Hour Self-Help Short Reads; #63 in Personal Development &amp; Self-Help in Spanish</t>
  </si>
  <si>
    <t xml:space="preserve">https://www.amazon.com/dp/B0H647167M</t>
  </si>
  <si>
    <t xml:space="preserve">At Your Command: The Original Teachings on Conscious Manifestation (The Neville Goddard Collection Book 1)</t>
  </si>
  <si>
    <t xml:space="preserve">Neville Goddard</t>
  </si>
  <si>
    <t xml:space="preserve">Moorhen Press</t>
  </si>
  <si>
    <t xml:space="preserve">B0GZQ7L132</t>
  </si>
  <si>
    <t xml:space="preserve">#11 in One-Hour Self-Help Short Reads; #22 in New Age New Thought; #95 in Spiritual Self-Help (Kindle Store)</t>
  </si>
  <si>
    <t xml:space="preserve">https://www.amazon.com/dp/B0GZQ7L132</t>
  </si>
  <si>
    <t xml:space="preserve">DECODE &amp; Translate Him: A Girl's Quick Guide to Buddy Talk</t>
  </si>
  <si>
    <t xml:space="preserve">S.M.  Duncan</t>
  </si>
  <si>
    <t xml:space="preserve">S.M. Duncan Press</t>
  </si>
  <si>
    <t xml:space="preserve">B0HJB6TLST</t>
  </si>
  <si>
    <t xml:space="preserve">#12 in One-Hour Self-Help Short Reads; #130 in Communication &amp; Social Skills Self-Help eBooks; #485 in Personal Transformation</t>
  </si>
  <si>
    <t xml:space="preserve">https://www.amazon.com/dp/B0HJB6TLST</t>
  </si>
  <si>
    <t xml:space="preserve">3 Chord Songs Book 3: Play 10 Songs on Guitar with 3 Chords - Includes Strum Patterns (3 Chords Songs)</t>
  </si>
  <si>
    <t xml:space="preserve">B00SSXXIVY</t>
  </si>
  <si>
    <t xml:space="preserve">#7 in One-Hour Arts &amp; Photography Short Reads; #13 in One-Hour Self-Help Short Reads; #13 in Guitar Music</t>
  </si>
  <si>
    <t xml:space="preserve">https://www.amazon.com/dp/B00SSXXIVY</t>
  </si>
  <si>
    <t xml:space="preserve">Rising with Dyslexia</t>
  </si>
  <si>
    <t xml:space="preserve">Nellie Nakhel</t>
  </si>
  <si>
    <t xml:space="preserve">B0FJ7F925F</t>
  </si>
  <si>
    <t xml:space="preserve">#5 in One-Hour Education &amp; Reference Short Reads; #6 in One-Hour Parenting &amp; Relationships Short Reads; #14 in One-Hour Self-Help Short Reads</t>
  </si>
  <si>
    <t xml:space="preserve">https://www.amazon.com/dp/B0FJ7F925F</t>
  </si>
  <si>
    <t xml:space="preserve">Ego transformado (Portuguese Edition)</t>
  </si>
  <si>
    <t xml:space="preserve">Timothy Keller</t>
  </si>
  <si>
    <t xml:space="preserve">Vida Nova</t>
  </si>
  <si>
    <t xml:space="preserve">B07W8S4G7M</t>
  </si>
  <si>
    <t xml:space="preserve">#2 in Religion in Portuguese; #4 in Personal Development &amp; Self-Help in Portuguese; #15 in One-Hour Self-Help Short Reads</t>
  </si>
  <si>
    <t xml:space="preserve">https://www.amazon.com/dp/B07W8S4G7M</t>
  </si>
  <si>
    <t xml:space="preserve">3 Chord Songs Book 4: Play 10 Songs on Guitar with 3 Chords - Includes Strum Patterns (3 Chords Songs)</t>
  </si>
  <si>
    <t xml:space="preserve">B00TCO3MD2</t>
  </si>
  <si>
    <t xml:space="preserve">#11 in One-Hour Arts &amp; Photography Short Reads; #16 in One-Hour Self-Help Short Reads; #22 in Guitar Music</t>
  </si>
  <si>
    <t xml:space="preserve">https://www.amazon.com/dp/B00TCO3MD2</t>
  </si>
  <si>
    <t xml:space="preserve">The Index Card Method: A guide to organization, productivity, achieving goals and managing your life using Index Cards</t>
  </si>
  <si>
    <t xml:space="preserve">Kim Celtic</t>
  </si>
  <si>
    <t xml:space="preserve">B0FG1Q6P8B</t>
  </si>
  <si>
    <t xml:space="preserve">#17 in One-Hour Self-Help Short Reads; #77 in Time Management Self-Help eBooks; #86 in Time Management in Business</t>
  </si>
  <si>
    <t xml:space="preserve">https://www.amazon.com/dp/B0FG1Q6P8B</t>
  </si>
  <si>
    <t xml:space="preserve">La Búsqueda del Tiempo Perdido en la Torre del Reloj (Spanish Edition)</t>
  </si>
  <si>
    <t xml:space="preserve">Nathaniel  Fay</t>
  </si>
  <si>
    <t xml:space="preserve">B0DJT1H4GZ</t>
  </si>
  <si>
    <t xml:space="preserve">OTHER</t>
  </si>
  <si>
    <t xml:space="preserve">#5 in Reference in Spanish; #9 in One-Hour Education &amp; Reference Short Reads; #18 in One-Hour Self-Help Short Reads</t>
  </si>
  <si>
    <t xml:space="preserve">https://www.amazon.com/dp/B0DJT1H4GZ</t>
  </si>
  <si>
    <t xml:space="preserve">How To Doodle: For adults and non-artists of all ages</t>
  </si>
  <si>
    <t xml:space="preserve">Haley Fiege</t>
  </si>
  <si>
    <t xml:space="preserve">B0CWLK8397</t>
  </si>
  <si>
    <t xml:space="preserve">#7 in One-Hour Craft, Hobby &amp; Home Short Reads; #14 in One-Hour Teen &amp; Young Adult Short Reads; #14 in One-Hour Arts &amp; Photography Short Reads</t>
  </si>
  <si>
    <t xml:space="preserve">https://www.amazon.com/dp/B0CWLK8397</t>
  </si>
  <si>
    <t xml:space="preserve">Not Crazy, Just Conditioned: Surviving Narcissistic Abuse and Reclaiming Your Power</t>
  </si>
  <si>
    <t xml:space="preserve">Amie Noel</t>
  </si>
  <si>
    <t xml:space="preserve">B0F5MJ1QCH</t>
  </si>
  <si>
    <t xml:space="preserve">#20 in One-Hour Self-Help Short Reads; #82 in Self-Help for Abuse; #305 in Abuse Self-Help</t>
  </si>
  <si>
    <t xml:space="preserve">https://www.amazon.com/dp/B0F5MJ1QCH</t>
  </si>
  <si>
    <t xml:space="preserve">Est. sales/day</t>
  </si>
  <si>
    <t xml:space="preserve">Label / source</t>
  </si>
  <si>
    <t xml:space="preserve">Extrapolated anchor (bounds interpolation; not a measured value)</t>
  </si>
  <si>
    <t xml:space="preserve">BookBloom calibration, Nov 2025</t>
  </si>
  <si>
    <t xml:space="preserve">BookBloom</t>
  </si>
  <si>
    <t xml:space="preserve">Extrapolated (log-log trend)</t>
  </si>
  <si>
    <t xml:space="preserve">Cross-check: Vappingo 2026 bands (BSR 2,000-10,000 ≈ 20-80/day; 10,000-50,000 ≈ 3-20/day) agree with this curve. See KR_Crosscheck for a test against Kindle Ranker's own estimates.</t>
  </si>
  <si>
    <t xml:space="preserve">Inputs (edit blue cells)</t>
  </si>
  <si>
    <t xml:space="preserve">Estimate band (±)</t>
  </si>
  <si>
    <t xml:space="preserve">Default ±40% around the curve estimate</t>
  </si>
  <si>
    <t xml:space="preserve">Delivery cost ($/MB, Amazon.com)</t>
  </si>
  <si>
    <t xml:space="preserve">KDP Digital Book Pricing page, verified 2026-10-07</t>
  </si>
  <si>
    <t xml:space="preserve">70% band minimum ($)</t>
  </si>
  <si>
    <t xml:space="preserve">KDP, verified 2026-10-07</t>
  </si>
  <si>
    <t xml:space="preserve">70% band maximum ($)</t>
  </si>
  <si>
    <t xml:space="preserve">KDP, effective 2026-07-07</t>
  </si>
  <si>
    <t xml:space="preserve">Days per month</t>
  </si>
  <si>
    <t xml:space="preserve">Assumption</t>
  </si>
  <si>
    <t xml:space="preserve">KENP rate ($/page, Aug 2026)</t>
  </si>
  <si>
    <t xml:space="preserve">Written Word Media, updated 2026-09-18</t>
  </si>
  <si>
    <t xml:space="preserve">Publisher class</t>
  </si>
  <si>
    <t xml:space="preserve">BSR</t>
  </si>
  <si>
    <t xml:space="preserve">File MB</t>
  </si>
  <si>
    <t xml:space="preserve">Bracket</t>
  </si>
  <si>
    <t xml:space="preserve">BSR low (b1)</t>
  </si>
  <si>
    <t xml:space="preserve">BSR high (b2)</t>
  </si>
  <si>
    <t xml:space="preserve">Sales low (s1)</t>
  </si>
  <si>
    <t xml:space="preserve">Sales high (s2)</t>
  </si>
  <si>
    <t xml:space="preserve">Low/day</t>
  </si>
  <si>
    <t xml:space="preserve">High/day</t>
  </si>
  <si>
    <t xml:space="preserve">Royalty/sale ($)</t>
  </si>
  <si>
    <t xml:space="preserve">Est. monthly units</t>
  </si>
  <si>
    <t xml:space="preserve">Est. monthly royalty ($)</t>
  </si>
  <si>
    <t xml:space="preserve">Low monthly royalty ($)</t>
  </si>
  <si>
    <t xml:space="preserve">High monthly royalty ($)</t>
  </si>
  <si>
    <t xml:space="preserve">Method</t>
  </si>
  <si>
    <t xml:space="preserve">Estimated: BSR curve (log-log), paid sales only; KU reads excluded; royalty assumes the better of 70% (minus delivery) or 35%</t>
  </si>
  <si>
    <t xml:space="preserve">Snapshot #1 BSR</t>
  </si>
  <si>
    <t xml:space="preserve">Snapshot #20 BSR</t>
  </si>
  <si>
    <t xml:space="preserve">Est. #1 sales/day</t>
  </si>
  <si>
    <t xml:space="preserve">Est. #20 sales/day</t>
  </si>
  <si>
    <t xml:space="preserve">Indie titles in top 20</t>
  </si>
  <si>
    <t xml:space="preserve">Indie titles ≤18 months old</t>
  </si>
  <si>
    <t xml:space="preserve">KU titles in top 20</t>
  </si>
  <si>
    <t xml:space="preserve">Avg pages (top 20)</t>
  </si>
  <si>
    <t xml:space="preserve">Avg price ($)</t>
  </si>
  <si>
    <t xml:space="preserve">KR #1 sales/day</t>
  </si>
  <si>
    <t xml:space="preserve">KR #50 sales/day</t>
  </si>
  <si>
    <t xml:space="preserve">KR median price ($)</t>
  </si>
  <si>
    <t xml:space="preserve">KR avg pages</t>
  </si>
  <si>
    <t xml:space="preserve">KR indie %</t>
  </si>
  <si>
    <t xml:space="preserve">KR KDP Select %</t>
  </si>
  <si>
    <t xml:space="preserve">KR monopoly</t>
  </si>
  <si>
    <t xml:space="preserve">MR sales/day to hold #1</t>
  </si>
  <si>
    <t xml:space="preserve">MR sales/day for top 10</t>
  </si>
  <si>
    <t xml:space="preserve">MR % indie</t>
  </si>
  <si>
    <t xml:space="preserve">Read</t>
  </si>
  <si>
    <t xml:space="preserve">Yes</t>
  </si>
  <si>
    <t xml:space="preserve">not measured</t>
  </si>
  <si>
    <t xml:space="preserve">Low-volume shelf (#1 ~25/day) dominated by Thomas Nelson/Zondervan, but two indie spiritual-warfare prayer books rank (BSR 11.8K, 27.2K) at 75-126pp.</t>
  </si>
  <si>
    <t xml:space="preserve">No</t>
  </si>
  <si>
    <t xml:space="preserve">High demand at the top (Huberman #1). Indie entry point is #10-20 (~8-23/day). Two Sept-2026 indie launches ride $0.99 pricing.</t>
  </si>
  <si>
    <t xml:space="preserve">Strongest indie shelf for guides: Chidiac, Trenton x2, Falces, Logan West all top 20. #20 still sells ~18/day.</t>
  </si>
  <si>
    <t xml:space="preserve">236–757</t>
  </si>
  <si>
    <t xml:space="preserve">29–83</t>
  </si>
  <si>
    <t xml:space="preserve">Classics and celebrity titles; #20 needs ~31/day. Only Meurisse's 2021 Dopamine Detox is indie. Not an entry shelf.</t>
  </si>
  <si>
    <t xml:space="preserve">n/a</t>
  </si>
  <si>
    <t xml:space="preserve">Thin shelf (#20 ~2/day). Public-domain reprints (Shinn, Allen) and classics. Cheap to rank; little to earn.</t>
  </si>
  <si>
    <t xml:space="preserve">Low volume (#1 ~54/day, #20 ~2/day). Prompt books and Kindle Scribe journals appear; KU 10/20.</t>
  </si>
  <si>
    <t xml:space="preserve">29–80</t>
  </si>
  <si>
    <t xml:space="preserve">12–24</t>
  </si>
  <si>
    <t xml:space="preserve">Trad productivity classics plus indie ADHD workbooks at #19-20 and a Kindle Scribe planner at #10.</t>
  </si>
  <si>
    <t xml:space="preserve">Best indie shelf: 6 indie titles, all ≤18 months old, BSR 5.5K-17.5K. Trend-diet companions (cottage cheese, Dr O'Mara, GLP-1 era).</t>
  </si>
  <si>
    <t xml:space="preserve">America's Test Kitchen and big food publishers own it at $0.99-5.99; avg 427 pages. One indie on a $0.99 launch.</t>
  </si>
  <si>
    <t xml:space="preserve">13/20 indie but #1 sells ~8/day and #20 &lt;1/day. Funnel shelf only.</t>
  </si>
  <si>
    <t xml:space="preserve">Sources: KR = Kindle Ranker public category pages (fetched 2026-10-07; third-party, capture date unknown; Affirmations and Time Management nodes not listed). MR = ManuscriptReport "Sales needed to hit #1 in every Kindle category" (326 categories measured, 2026). Snapshot columns are formulas over Charts_Snapshot / Sales_Estimates.</t>
  </si>
  <si>
    <t xml:space="preserve">Titles &lt; $2.99 (35%)</t>
  </si>
  <si>
    <t xml:space="preserve">Titles $2.99-12.99 (70%)</t>
  </si>
  <si>
    <t xml:space="preserve">Titles &gt; $12.99 (35%)</t>
  </si>
  <si>
    <t xml:space="preserve">Share in 70% band</t>
  </si>
  <si>
    <t xml:space="preserve">KU titles</t>
  </si>
  <si>
    <t xml:space="preserve">KU share</t>
  </si>
  <si>
    <t xml:space="preserve">Avg price, all ($)</t>
  </si>
  <si>
    <t xml:space="preserve">Avg price, indie ($)</t>
  </si>
  <si>
    <t xml:space="preserve">Indie titles in KU</t>
  </si>
  <si>
    <t xml:space="preserve">Est. KU $ per full read of a 150-page book</t>
  </si>
  <si>
    <t xml:space="preserve">Note: the KU column assumes KENP ≈ print pages (KENP is computed by Amazon and often differs). A full read of a 150-page book pays about the same as a $2.99 sale at 35%, so KU suits short series where readers binge. 7 titles priced $0.99 on launch fall in the 35% tier.</t>
  </si>
  <si>
    <t xml:space="preserve">Theme counts (critical reviews, 1-3★, shown on the 167 product pages + Goodreads)</t>
  </si>
  <si>
    <t xml:space="preserve">Theme</t>
  </si>
  <si>
    <t xml:space="preserve">Count</t>
  </si>
  <si>
    <t xml:space="preserve">Where it shows up</t>
  </si>
  <si>
    <t xml:space="preserve">Trust: reads as AI-written</t>
  </si>
  <si>
    <t xml:space="preserve">Self-Esteem (LePera, Hamdani: traditional), Motivational (Nguyen), Affirmations (Soft Life Handbook, indie), Time Mgmt (ADHD hacks, indie)</t>
  </si>
  <si>
    <t xml:space="preserve">Substance: repetitive / padded</t>
  </si>
  <si>
    <t xml:space="preserve">Indie self-help (Trenton), journal prompts (Stacey Myers), ADHD hacks (Caroline Singer); Goodreads: "So repetitive."</t>
  </si>
  <si>
    <t xml:space="preserve">Substance: generic / nothing new / shallow</t>
  </si>
  <si>
    <t xml:space="preserve">Across trad and indie; Goodreads (Trenton): "nothing groundbreaking"</t>
  </si>
  <si>
    <t xml:space="preserve">Structure: too many techniques / unfocused / long-winded</t>
  </si>
  <si>
    <t xml:space="preserve">Editing: errors, self-published without editor</t>
  </si>
  <si>
    <t xml:space="preserve">Value: too short / thin / no real instructions</t>
  </si>
  <si>
    <t xml:space="preserve">Format: expectation mismatch (not a journal, not a story)</t>
  </si>
  <si>
    <t xml:space="preserve">Recipes: untested / poor quality / nutrition</t>
  </si>
  <si>
    <t xml:space="preserve">Nutrition and Quick &amp; Easy, incl. America's Test Kitchen</t>
  </si>
  <si>
    <t xml:space="preserve">Fulfilment: bonus downloads inaccessible</t>
  </si>
  <si>
    <t xml:space="preserve">Tone: too religious / biased</t>
  </si>
  <si>
    <t xml:space="preserve">Influencer gap: book lacks the creator's known recipes</t>
  </si>
  <si>
    <t xml:space="preserve">Physical copy / shipping (not content, excluded from gap scoring)</t>
  </si>
  <si>
    <t xml:space="preserve">Coded reviews (quotes are verbatim excerpts; reviewer spelling kept)</t>
  </si>
  <si>
    <t xml:space="preserve">Source</t>
  </si>
  <si>
    <t xml:space="preserve">Verbatim excerpt</t>
  </si>
  <si>
    <t xml:space="preserve">Review date / note</t>
  </si>
  <si>
    <t xml:space="preserve">Amazon</t>
  </si>
  <si>
    <t xml:space="preserve">Too much Chat GPT</t>
  </si>
  <si>
    <t xml:space="preserve">Reviewed in the United Kingdom on June 23, 2026</t>
  </si>
  <si>
    <t xml:space="preserve">Reads as if it was writen by AI.</t>
  </si>
  <si>
    <t xml:space="preserve">Reviewed in the United States on August 31, 2026</t>
  </si>
  <si>
    <t xml:space="preserve">Reads like AI slop.</t>
  </si>
  <si>
    <t xml:space="preserve">Reviewed in Canada on February 8, 2026</t>
  </si>
  <si>
    <t xml:space="preserve">It seemed like it may have been written by a chatbot.</t>
  </si>
  <si>
    <t xml:space="preserve">Reviewed in the United States on April 12, 2026</t>
  </si>
  <si>
    <t xml:space="preserve">Clearly written by AI... some good ideas but weird vibe.</t>
  </si>
  <si>
    <t xml:space="preserve">Reviewed in the United Kingdom on May 14, 2026</t>
  </si>
  <si>
    <t xml:space="preserve">Repetitive childish anecdotes that don’t say much</t>
  </si>
  <si>
    <t xml:space="preserve">Reviewed in the United Kingdom on July 23, 2025</t>
  </si>
  <si>
    <t xml:space="preserve">I found many of the stories to be repetitive</t>
  </si>
  <si>
    <t xml:space="preserve">Reviewed in the United States on July 23, 2025</t>
  </si>
  <si>
    <t xml:space="preserve">80% of them were the same prompt reworded</t>
  </si>
  <si>
    <t xml:space="preserve">Reviewed in the United States on November 29, 2025</t>
  </si>
  <si>
    <t xml:space="preserve">it has mentioned the same technique again and again</t>
  </si>
  <si>
    <t xml:space="preserve">Reviewed in the United States on July 12, 2026</t>
  </si>
  <si>
    <t xml:space="preserve">it's not the groundbreaking, life changi</t>
  </si>
  <si>
    <t xml:space="preserve">Reviewed in the United States on December 5, 2025</t>
  </si>
  <si>
    <t xml:space="preserve">Nothing groundbreaking or new, no “aha” moment.</t>
  </si>
  <si>
    <t xml:space="preserve">Reviewed in the United States on May 24, 2026</t>
  </si>
  <si>
    <t xml:space="preserve">it left me wanting more details. I felt that it skimmed the surface of things</t>
  </si>
  <si>
    <t xml:space="preserve">Reviewed in the United States on May 8, 2026</t>
  </si>
  <si>
    <t xml:space="preserve">Good common sense advice.</t>
  </si>
  <si>
    <t xml:space="preserve">Reviewed in the United States on September 16, 2026</t>
  </si>
  <si>
    <t xml:space="preserve">Pretty shallow reflections</t>
  </si>
  <si>
    <t xml:space="preserve">Reviewed in Sweden on July 6, 2025</t>
  </si>
  <si>
    <t xml:space="preserve">Not what I expected. Generic.</t>
  </si>
  <si>
    <t xml:space="preserve">Reviewed in the United States on July 27, 2016</t>
  </si>
  <si>
    <t xml:space="preserve">The techniques were useful but they were too many in my opinion</t>
  </si>
  <si>
    <t xml:space="preserve">Reviewed in the United States on January 30, 2026</t>
  </si>
  <si>
    <t xml:space="preserve">a great introduction to an assortment of philosophical ideals</t>
  </si>
  <si>
    <t xml:space="preserve">Reviewed in the United States on April 10, 2018</t>
  </si>
  <si>
    <t xml:space="preserve">perhaps he should cut down on</t>
  </si>
  <si>
    <t xml:space="preserve">Reviewed in Singapore on April 16, 2023</t>
  </si>
  <si>
    <t xml:space="preserve">the fact that is self-published means that no editor's eyes reviewed the book before it went to print</t>
  </si>
  <si>
    <t xml:space="preserve">Reviewed in Spain on January 19, 2025</t>
  </si>
  <si>
    <t xml:space="preserve">It was a very short read with very simple advice.</t>
  </si>
  <si>
    <t xml:space="preserve">Reviewed in the United States on August 3, 2026</t>
  </si>
  <si>
    <t xml:space="preserve">It is a very small book for a large price, and you can find this list online for free.</t>
  </si>
  <si>
    <t xml:space="preserve">Reviewed in Canada on October 31, 2024</t>
  </si>
  <si>
    <t xml:space="preserve">The author shows you the chords and gives you the lyrics but that's all.</t>
  </si>
  <si>
    <t xml:space="preserve">Reviewed in the United States on February 24, 2015</t>
  </si>
  <si>
    <t xml:space="preserve">No info on drawing.</t>
  </si>
  <si>
    <t xml:space="preserve">Reviewed in the United States on January 29, 2026</t>
  </si>
  <si>
    <t xml:space="preserve">Completely lacking any instruction at all.</t>
  </si>
  <si>
    <t xml:space="preserve">Reviewed in the United Kingdom on August 8, 2025</t>
  </si>
  <si>
    <t xml:space="preserve">29 pages of lists of things you could doodle...no instructions on how to do it.</t>
  </si>
  <si>
    <t xml:space="preserve">Reviewed in the United Kingdom on May 22, 2025</t>
  </si>
  <si>
    <t xml:space="preserve">Not what I thought</t>
  </si>
  <si>
    <t xml:space="preserve">Reviewed in the United States on January 24, 2025</t>
  </si>
  <si>
    <t xml:space="preserve">i thought this was an actual journal but it turned out to be just a guide.</t>
  </si>
  <si>
    <t xml:space="preserve">Reviewed in Egypt on August 21, 2025</t>
  </si>
  <si>
    <t xml:space="preserve">I thought it would be a story</t>
  </si>
  <si>
    <t xml:space="preserve">Reviewed in Australia on October 23, 2024</t>
  </si>
  <si>
    <t xml:space="preserve">More than half of the book focused on decorative bullet journal/ planner type layouts.</t>
  </si>
  <si>
    <t xml:space="preserve">Reviewed in the United States on May 5, 2021</t>
  </si>
  <si>
    <t xml:space="preserve">All receipe are high in sodium.</t>
  </si>
  <si>
    <t xml:space="preserve">Reviewed in the United States on September 25, 2026</t>
  </si>
  <si>
    <t xml:space="preserve">the author was clueless about how to properly research and then write a recipe</t>
  </si>
  <si>
    <t xml:space="preserve">Reviewed in the United States on May 14, 2024</t>
  </si>
  <si>
    <t xml:space="preserve">The author seems afraid of spices and herbs</t>
  </si>
  <si>
    <t xml:space="preserve">Reviewed in the United States on October 23, 2022</t>
  </si>
  <si>
    <t xml:space="preserve">the recipes aren’t great.</t>
  </si>
  <si>
    <t xml:space="preserve">Reviewed in the United States on May 2, 2024</t>
  </si>
  <si>
    <t xml:space="preserve">I didn't find that it s</t>
  </si>
  <si>
    <t xml:space="preserve">Reviewed in the United States on March 28, 2018</t>
  </si>
  <si>
    <t xml:space="preserve">can’t access the free downloads you are suppose to print and follow along with.</t>
  </si>
  <si>
    <t xml:space="preserve">Reviewed in the United Kingdom on December 31, 2025</t>
  </si>
  <si>
    <t xml:space="preserve">I had picked this book after spending a fair amount of time comparing it with other self-help books on my wishlist. So, naturally, my expect…</t>
  </si>
  <si>
    <t xml:space="preserve">Reviewed in India on May 25, 2022</t>
  </si>
  <si>
    <t xml:space="preserve">I concetti nel libro sono sicuramente validi ma sono troppo spesso supportati da riferimenti religiosi. La scrittrice utilizza esperienze pe…</t>
  </si>
  <si>
    <t xml:space="preserve">Reviewed in Italy on August 9, 2024</t>
  </si>
  <si>
    <t xml:space="preserve">I love the idea of this book, and went into the book and her program with full enthusiasm. Unfortunately, I was turned off from this program…</t>
  </si>
  <si>
    <t xml:space="preserve">Reviewed in the United States on August 10, 2016</t>
  </si>
  <si>
    <t xml:space="preserve">The story part of this book is very biased. I am AFAB, so don't gang up on me as a gender traitor. I believe that social conditioning has sh…</t>
  </si>
  <si>
    <t xml:space="preserve">Reviewed in the United States on December 6, 2022</t>
  </si>
  <si>
    <t xml:space="preserve">Dr. Li is very knowledgeable and there is outstanding content in the book. However, like many authors, he is constantly villainizing meat co…</t>
  </si>
  <si>
    <t xml:space="preserve">Reviewed in the United States on December 4, 2025</t>
  </si>
  <si>
    <t xml:space="preserve">Good information when taken in Toto. What do I mean by that? One would need to read other books in the same genre to understand what he mean…</t>
  </si>
  <si>
    <t xml:space="preserve">Reviewed in the United States on January 22, 2013</t>
  </si>
  <si>
    <t xml:space="preserve">I could just go on her IG and get the recipes</t>
  </si>
  <si>
    <t xml:space="preserve">Reviewed in the United States on August 19, 2026</t>
  </si>
  <si>
    <t xml:space="preserve">almost all of the recipes I loved from her social media posts, weren't in the book.</t>
  </si>
  <si>
    <t xml:space="preserve">Reviewed in the Netherlands on September 6, 2026</t>
  </si>
  <si>
    <t xml:space="preserve">The book is all wavy and the pages compacted together making it hard to turn the pages. As a gift to my nephew for his upcoming graduation I…</t>
  </si>
  <si>
    <t xml:space="preserve">Reviewed in Singapore on April 27, 2022</t>
  </si>
  <si>
    <t xml:space="preserve">Back side was torn</t>
  </si>
  <si>
    <t xml:space="preserve">Reviewed in the Netherlands on August 5, 2025</t>
  </si>
  <si>
    <t xml:space="preserve">The “sold by Amazon” edition of this book is a crappy Amazon published copy. Even the picture on the front is super blurry.</t>
  </si>
  <si>
    <t xml:space="preserve">Reviewed in Japan on November 3, 2022</t>
  </si>
  <si>
    <t xml:space="preserve">Book is full of black marks</t>
  </si>
  <si>
    <t xml:space="preserve">Reviewed in South Africa on November 17, 2025</t>
  </si>
  <si>
    <t xml:space="preserve">This review is not about the content of the book, but about the quality of the edition sold. The font is extremely small, making it difficul…</t>
  </si>
  <si>
    <t xml:space="preserve">Reviewed in Ireland on January 4, 2026</t>
  </si>
  <si>
    <t xml:space="preserve">The print is of a poor quality. Some passages are blury and some pages misaligned in the middle - frustrating</t>
  </si>
  <si>
    <t xml:space="preserve">Reviewed in Belgium on September 13, 2026</t>
  </si>
  <si>
    <t xml:space="preserve">Got the book in a bad condition The cover of the book is wrinkled and torn in some places For this price it’s very bad quality</t>
  </si>
  <si>
    <t xml:space="preserve">Reviewed in the United Arab Emirates on June 11, 2025</t>
  </si>
  <si>
    <t xml:space="preserve">I paid Rs. 914/- for the book but I don’t have any information of the book. LIFE IS HARD, GOD IS GOOD. Let’s Dance by Brant Hanson</t>
  </si>
  <si>
    <t xml:space="preserve">Reviewed in India on February 4, 2024</t>
  </si>
  <si>
    <t xml:space="preserve">The font is very light and small, having difficulty reading vey unpleasant experience while reading the book… it is straining my eyes. Poor …</t>
  </si>
  <si>
    <t xml:space="preserve">Reviewed in India on July 12, 2025</t>
  </si>
  <si>
    <t xml:space="preserve">Don't buy from book readers 4215/1 ansari road new delhi,i received very low quality and damaged product..</t>
  </si>
  <si>
    <t xml:space="preserve">Reviewed in India on December 26, 2017</t>
  </si>
  <si>
    <t xml:space="preserve">After unpacking, I have opened the book and some pages fell out... besides that delivery was fast and overall quality of book looks good....</t>
  </si>
  <si>
    <t xml:space="preserve">Reviewed in Singapore on April 20, 2022</t>
  </si>
  <si>
    <t xml:space="preserve">Ce livre est arrivé…en anglais! Dommage</t>
  </si>
  <si>
    <t xml:space="preserve">Reviewed in France on September 3, 2026</t>
  </si>
  <si>
    <t xml:space="preserve">Read more Read less</t>
  </si>
  <si>
    <t xml:space="preserve">Reviewed in Germany on January 18, 2024</t>
  </si>
  <si>
    <t xml:space="preserve">Some interesting recipes but print is too small for my aging eyes. Will (regretfully) be returning it</t>
  </si>
  <si>
    <t xml:space="preserve">Reviewed in Canada on March 31, 2025</t>
  </si>
  <si>
    <t xml:space="preserve">Very disappointed. The ingredients are bagged in plastic bags.</t>
  </si>
  <si>
    <t xml:space="preserve">Reviewed in Germany on July 7, 2023</t>
  </si>
  <si>
    <t xml:space="preserve">Love her recipes online but I Ordered 2x and didn’t arrive either time.</t>
  </si>
  <si>
    <t xml:space="preserve">Reviewed in the United States on August 5, 2026</t>
  </si>
  <si>
    <t xml:space="preserve">Do not buy through Amazon I waited almost three months with no update. If you want this book buy it from Blackwell books it took a week and …</t>
  </si>
  <si>
    <t xml:space="preserve">Reviewed in the United States on July 27, 2026</t>
  </si>
  <si>
    <t xml:space="preserve">Ordered on 1st August, today is 9th August. Not yet received the product. Please expedite.</t>
  </si>
  <si>
    <t xml:space="preserve">Reviewed in India on August 9, 2017</t>
  </si>
  <si>
    <t xml:space="preserve">Goodreads</t>
  </si>
  <si>
    <t xml:space="preserve">Stop Overthinking (goodreads.com/book/show/58276818)</t>
  </si>
  <si>
    <t xml:space="preserve">So repetitive.</t>
  </si>
  <si>
    <t xml:space="preserve">Goodreads avg 3.73 from 9,715 ratings</t>
  </si>
  <si>
    <t xml:space="preserve">I wouldn't say that author Nick Trenton covers anything truly ground-breaking here</t>
  </si>
  <si>
    <t xml:space="preserve">Found multiple spelling and grammatical errors (come on) which should just not happen.</t>
  </si>
  <si>
    <t xml:space="preserve">I think it almost gives TOO many strategies and concepts.</t>
  </si>
  <si>
    <t xml:space="preserve">it was all over the place, talking about too many different topics, in an extremely superficial way.</t>
  </si>
  <si>
    <t xml:space="preserve">Archetype</t>
  </si>
  <si>
    <t xml:space="preserve">Examples in this snapshot</t>
  </si>
  <si>
    <t xml:space="preserve">Typical price / length / KU</t>
  </si>
  <si>
    <t xml:space="preserve">Replicable with AI-assisted production?</t>
  </si>
  <si>
    <t xml:space="preserve">KU dependence</t>
  </si>
  <si>
    <t xml:space="preserve">Traditional mega-sellers</t>
  </si>
  <si>
    <t xml:space="preserve">Courage to Be Disliked, Subtle Art, Huberman Protocols, Jesus Listens</t>
  </si>
  <si>
    <t xml:space="preserve">$2.99-16.99; 200-700pp; mixed KU</t>
  </si>
  <si>
    <t xml:space="preserve">No: brand, platform and publisher marketing</t>
  </si>
  <si>
    <t xml:space="preserve">Low</t>
  </si>
  <si>
    <t xml:space="preserve">Classics / public-domain reprints</t>
  </si>
  <si>
    <t xml:space="preserve">Man's Search for Meaning; Florence Scovel Shinn and James Allen reprints at $0.25-1.99</t>
  </si>
  <si>
    <t xml:space="preserve">$0.25-2.99; 35-200pp</t>
  </si>
  <si>
    <t xml:space="preserve">Only as annotated editions; price war at $0.99</t>
  </si>
  <si>
    <t xml:space="preserve">Mixed</t>
  </si>
  <si>
    <t xml:space="preserve">Indie "mental habits" catalogues</t>
  </si>
  <si>
    <t xml:space="preserve">Meurisse (Dopamine Detox, Master Your Emotions), Nick Trenton (Stop Overthinking, Art of Letting Go), Chidiac</t>
  </si>
  <si>
    <t xml:space="preserve">$1.99-9.99; 65-250pp; series</t>
  </si>
  <si>
    <t xml:space="preserve">Yes, if heavily edited: the incumbents' weak spots are repetition and editing</t>
  </si>
  <si>
    <t xml:space="preserve">Medium-high</t>
  </si>
  <si>
    <t xml:space="preserve">2025-26 pen-name guides</t>
  </si>
  <si>
    <t xml:space="preserve">Let Them Go (Logan West), You're Going to Die… (Laura Falces), Soft Life Handbook (Airy Fairy Press)</t>
  </si>
  <si>
    <t xml:space="preserve">$5.99-8.99; 80-190pp; KU</t>
  </si>
  <si>
    <t xml:space="preserve">Yes; this is the closest match to an AI-assisted product. Readers flag AI prose in some.</t>
  </si>
  <si>
    <t xml:space="preserve">High</t>
  </si>
  <si>
    <t xml:space="preserve">Spiritual-warfare prayer books</t>
  </si>
  <si>
    <t xml:space="preserve">Spiritual Warfare Prayers From the Psalms; Demons Must Flee; (Kindle Ranker list: Tella Olayeri, Tomi Arayomi)</t>
  </si>
  <si>
    <t xml:space="preserve">$4.99-9.99; 75-130pp; KU</t>
  </si>
  <si>
    <t xml:space="preserve">Yes, with scripture verification and a real ministry voice</t>
  </si>
  <si>
    <t xml:space="preserve">Trend-diet companions</t>
  </si>
  <si>
    <t xml:space="preserve">High-Protein Cottage Cheese Cookbook; Dr. Sean O'Mara Diet; Butter in My Coffee</t>
  </si>
  <si>
    <t xml:space="preserve">$4.99-9.99; 100-170pp; KU</t>
  </si>
  <si>
    <t xml:space="preserve">Partly: text yes, recipes must be tested; nutrition panels expected</t>
  </si>
  <si>
    <t xml:space="preserve">Non-clinical ADHD workbooks</t>
  </si>
  <si>
    <t xml:space="preserve">Complete CBT Workbook for Adults with ADHD; 365 Executive Functioning Hacks</t>
  </si>
  <si>
    <t xml:space="preserve">$9.99; 150-210pp; KU</t>
  </si>
  <si>
    <t xml:space="preserve">Yes, but avoid clinical claims; deliver bonus files reliably</t>
  </si>
  <si>
    <t xml:space="preserve">Kindle Scribe-native planners/journals</t>
  </si>
  <si>
    <t xml:space="preserve">2026 Planner &amp; Calendar (Kindle Scribe Only); SNR reflection journal</t>
  </si>
  <si>
    <t xml:space="preserve">$2.99-4.99; KU</t>
  </si>
  <si>
    <t xml:space="preserve">Yes (template product); small device audience</t>
  </si>
  <si>
    <t xml:space="preserve">Medium</t>
  </si>
  <si>
    <t xml:space="preserve">Short reads</t>
  </si>
  <si>
    <t xml:space="preserve">As a Man Thinketh; F*CK 'EM; 3 Chord Songs</t>
  </si>
  <si>
    <t xml:space="preserve">$0.99-9.99; 33-43pp</t>
  </si>
  <si>
    <t xml:space="preserve">Yes, but sales are tiny: use as a funnel</t>
  </si>
  <si>
    <t xml:space="preserve">$0.99 launch spikes</t>
  </si>
  <si>
    <t xml:space="preserve">9 Hidden Switches; One Brave Breath; I Don't Eat That; Cheap and Wicked Good!</t>
  </si>
  <si>
    <t xml:space="preserve">$0.99; 200-240pp; 10-31 reviews</t>
  </si>
  <si>
    <t xml:space="preserve">Unknown until a second snapshot</t>
  </si>
  <si>
    <t xml:space="preserve">Scores 0-10 per criterion (blue = editable). Score = SUMPRODUCT(weights, scores)/10 → 0-100. Tier A needs ≥75 AND ≥2 snapshots AND ≥3 source types.</t>
  </si>
  <si>
    <t xml:space="preserve">Weights</t>
  </si>
  <si>
    <t xml:space="preserve">Concept</t>
  </si>
  <si>
    <t xml:space="preserve">Target categories</t>
  </si>
  <si>
    <t xml:space="preserve">Demand on Kindle</t>
  </si>
  <si>
    <t xml:space="preserve">Cross-platform</t>
  </si>
  <si>
    <t xml:space="preserve">Complaint gap</t>
  </si>
  <si>
    <t xml:space="preserve">Competition (10 = least)</t>
  </si>
  <si>
    <t xml:space="preserve">Trend</t>
  </si>
  <si>
    <t xml:space="preserve">Kindle/KU fit</t>
  </si>
  <si>
    <t xml:space="preserve">Price &amp; royalty</t>
  </si>
  <si>
    <t xml:space="preserve">Score (0-100)</t>
  </si>
  <si>
    <t xml:space="preserve">Snapshots</t>
  </si>
  <si>
    <t xml:space="preserve">Source types</t>
  </si>
  <si>
    <t xml:space="preserve">Tier</t>
  </si>
  <si>
    <t xml:space="preserve">Evidence (comps from snapshot)</t>
  </si>
  <si>
    <t xml:space="preserve">Stress test (case against)</t>
  </si>
  <si>
    <t xml:space="preserve">Kindle plan: KU / price / length / series / print-audio</t>
  </si>
  <si>
    <t xml:space="preserve">7 keyword ideas</t>
  </si>
  <si>
    <t xml:space="preserve">Gentle emotional-detachment / overthinking guide series</t>
  </si>
  <si>
    <t xml:space="preserve">Self-Esteem; Stress Management; Personal Transformation</t>
  </si>
  <si>
    <t xml:space="preserve">Let Them Go (Logan West, Jun 2025): BSR 10,862, $5.99, 81pp, KU, 105 reviews. You're Going to Die… (Laura Falces, Mar 2026): BSR 2,898, $8.99, KU. Stop Letting Everything Affect You (indie press): BSR 1,695. Trenton x2 and Meurisse in top 20.</t>
  </si>
  <si>
    <t xml:space="preserve">Incumbents hold 4K-16K reviews; "Success"-style saturation (77% likely AI) means buyers are AI-wary and already name it in reviews; needs ads to break in; Goodreads readers call the genre "nothing groundbreaking". A raw AI draft would repeat the exact flaws buyers punish.</t>
  </si>
  <si>
    <t xml:space="preserve">KU in. $5.99-7.99 (70% band). 90-160pp (shorter than the 239-page category average; matches indie winners). 3-5 book series, one emotion per book. Paperback with exercises; AI-voice audiobook only if disclosed.</t>
  </si>
  <si>
    <t xml:space="preserve">emotional detachment; stop overthinking; let go of control; people pleasing recovery; stop taking things personally; emotional resilience for women; calm mind daily practices</t>
  </si>
  <si>
    <t xml:space="preserve">Trend-diet companion cookbooks with full nutrition panels</t>
  </si>
  <si>
    <t xml:space="preserve">Nutrition; Special Diet; Quick &amp; Easy</t>
  </si>
  <si>
    <t xml:space="preserve">High-Protein Cottage Cheese Cookbook (Jul 2026): BSR 9,789, $9.99, 100pp, KU. Dr. Sean O'Mara Diet (Sep 2025): BSR 14,879, $4.99. Butter in My Coffee (Mar 2026): BSR 5,470. 6/20 Nutrition slots indie and ≤18 months old.</t>
  </si>
  <si>
    <t xml:space="preserve">Recipes must be cooked and tested: reviewers punish untested recipes even from America's Test Kitchen; "All receipe are high in sodium." Trends fade (GLP-1, cottage cheese); health claims invite policy and liability risk; avg Nutrition book is 318pp.</t>
  </si>
  <si>
    <t xml:space="preserve">KU in. $6.99-9.99. 100-170pp with per-recipe macros and sodium. One book per trend, fast to market, refreshed yearly. Paperback with photos is the stronger format.</t>
  </si>
  <si>
    <t xml:space="preserve">high protein cottage cheese recipes; GLP-1 friendly meals; anti-inflammatory meal prep; high protein low calorie; Nigerian healthy recipes; budget high protein; protein snacks</t>
  </si>
  <si>
    <t xml:space="preserve">Non-clinical ADHD executive-function workbook</t>
  </si>
  <si>
    <t xml:space="preserve">Time Management; Self-Management; Journaling</t>
  </si>
  <si>
    <t xml:space="preserve">Complete CBT Workbook for Adults with ADHD (Grace Ryan, Sep 2025): BSR 37,301, $9.99, 207pp, KU, 334 reviews. 365 Executive Functioning Hacks (Caroline Singer, Jun 2025): BSR 38,918, $9.99, 377 reviews. ManuscriptReport Time Mgmt: 70% indie, top-10 needs 12-24/day.</t>
  </si>
  <si>
    <t xml:space="preserve">Health-adjacent: must avoid diagnosis/treatment claims; reviewers flagged one comp "Clearly written by AI"; padding ("same technique again and again"); bonus downloads failing hurt ratings. Ebook is a weak format for worksheets.</t>
  </si>
  <si>
    <t xml:space="preserve">KU in. $8.99-9.99. 150-200pp. Working bonus PDF (tested link, no email gate). Paperback workbook is the main format; ebook as companion.</t>
  </si>
  <si>
    <t xml:space="preserve">ADHD executive function; ADHD planner adults; time blindness; ADHD routines for women; procrastination workbook; focus strategies ADHD; ADHD cleaning routine</t>
  </si>
  <si>
    <t xml:space="preserve">Scripture-based spiritual-warfare &amp; prayer-points series (Nigerian voice)</t>
  </si>
  <si>
    <t xml:space="preserve">Prayer; Spiritual Warfare; Christian Prayer Books</t>
  </si>
  <si>
    <t xml:space="preserve">Spiritual Warfare Prayers From the Psalms (Apr 2025): BSR 11,842, $4.99, 75pp, KU, 482 reviews, audiobook. Demons Must Flee (Oct 2025): BSR 27,249, $5.95, KU. Kindle Ranker Prayer list includes Tella Olayeri and Tomi Arayomi.</t>
  </si>
  <si>
    <t xml:space="preserve">Originality.ai: 63% of new religious titles likely AI (Jan-Jun 2026), so the shelf is flooding; buyers of devotional content value an identifiable minister; #1 sells only ~25/day; theological errors are fatal. No critical reviews surfaced, so the complaint gap is unproven.</t>
  </si>
  <si>
    <t xml:space="preserve">KU in. $4.99-5.99. 75-130pp. Series by battle (protection, finances, marriage, deliverance). Paperback pocket edition; audiobook strong for prayer recitation.</t>
  </si>
  <si>
    <t xml:space="preserve">spiritual warfare prayers; prayer points; deliverance prayers; midnight prayers; prayers against witchcraft; breakthrough declarations; psalms for protection</t>
  </si>
  <si>
    <t xml:space="preserve">Christian breath-prayer / anxiety devotional</t>
  </si>
  <si>
    <t xml:space="preserve">Prayer; Stress Management; Christian Devotionals</t>
  </si>
  <si>
    <t xml:space="preserve">Breath as Prayer (Thomas Nelson): BSR 11,490, KU. Way of the Wildflower, Heal Your Hurting Mind (trad). No indie comp in top 20.</t>
  </si>
  <si>
    <t xml:space="preserve">Traditional publishers own it; author platform matters; devotional readers resist AI-written faith content.</t>
  </si>
  <si>
    <t xml:space="preserve">KU in. $4.99. 40-day format, 120-150pp. Seasonal editions.</t>
  </si>
  <si>
    <t xml:space="preserve">breath prayers; Christian anxiety devotional; prayers for peace; scripture for anxiety; 40 day devotional; calm Christian women; bedtime prayers</t>
  </si>
  <si>
    <t xml:space="preserve">Kindle Scribe-native planners &amp; guided journals</t>
  </si>
  <si>
    <t xml:space="preserve">Time Management; Journaling</t>
  </si>
  <si>
    <t xml:space="preserve">2026 Planner &amp; Calendar (Kindle Scribe Only): BSR 10,036, $2.99, KU. SNR reflection journal: BSR 15,931. 365 Journal Prompts: BSR 44,826.</t>
  </si>
  <si>
    <t xml:space="preserve">Device-limited audience; one reviewer: "Not what I thought" (expected a writable journal); prompt books criticised as repetitive; easy to copy.</t>
  </si>
  <si>
    <t xml:space="preserve">KU in. $2.99-4.99. Dated annual editions (2027 planner by Nov 2026). Hyperlinked navigation.</t>
  </si>
  <si>
    <t xml:space="preserve">Kindle Scribe planner; Kindle Scribe journal; 2027 digital planner; daily journal prompts; gratitude journal Kindle; habit tracker; reflection journal</t>
  </si>
  <si>
    <t xml:space="preserve">Soft-life / feminine self-care affirmations handbook</t>
  </si>
  <si>
    <t xml:space="preserve">Affirmations; Happiness; Women's Personal Growth</t>
  </si>
  <si>
    <t xml:space="preserve">The Soft Life Handbook (Airy Fairy Press, Jul 2025): BSR 27,484, $7.88, 84pp, KU, 448 reviews.</t>
  </si>
  <si>
    <t xml:space="preserve">Reviewer suspected the comp was written by a chatbot; shelf dominated by classics and PD reprints; #20 sells ~2/day.</t>
  </si>
  <si>
    <t xml:space="preserve">KU in. $4.99-6.99. 80-120pp.</t>
  </si>
  <si>
    <t xml:space="preserve">soft life; slow living; feminine energy; self care for women; boundaries for women; affirmations for women; gentle living</t>
  </si>
  <si>
    <t xml:space="preserve">Budget 4-ingredient quick dinners cookbook</t>
  </si>
  <si>
    <t xml:space="preserve">Quick &amp; Easy; Low Budget</t>
  </si>
  <si>
    <t xml:space="preserve">Cheap and Wicked Good! (Louise Davidson, Jul 2026): BSR 12,398 at $0.99 launch, 16 reviews. America's Test Kitchen holds 5 slots at $3.99-5.99.</t>
  </si>
  <si>
    <t xml:space="preserve">Big food brands at low ebook prices; untested-recipe complaints; avg 427pp; $0.99 pricing means 35% royalty.</t>
  </si>
  <si>
    <t xml:space="preserve">KU in. $2.99-4.99. Test every recipe.</t>
  </si>
  <si>
    <t xml:space="preserve">budget meals; 4 ingredient recipes; cheap dinners; easy family dinners; meal prep on a budget; one pot meals; quick weeknight dinners</t>
  </si>
  <si>
    <t xml:space="preserve">One-hour short-read funnel</t>
  </si>
  <si>
    <t xml:space="preserve">Short-reads #1 (As a Man Thinketh) BSR 25,444 ≈ 8/day; #20 &lt;1/day. 13/20 indie.</t>
  </si>
  <si>
    <t xml:space="preserve">Too small to earn; complaints about thin content ("Completely lacking any instruction at all.").</t>
  </si>
  <si>
    <t xml:space="preserve">Free or $0.99 lead-in to concept 1 or 4.</t>
  </si>
  <si>
    <t xml:space="preserve">n/a: use the parent series keywords</t>
  </si>
  <si>
    <t xml:space="preserve">Source types counted: Amazon snapshot; Kindle Ranker / ManuscriptReport; Goodreads; Originality.ai / press. Snapshots = 1 for every concept, so Tier A is impossible this run by design: re-run weekly.</t>
  </si>
  <si>
    <t xml:space="preserve">Does the BSR curve agree with Kindle Ranker's own monthly $ estimates? (Kindle Ranker capture date unknown; both values refer to KR's BSR)</t>
  </si>
  <si>
    <t xml:space="preserve">Median ratio (curve ÷ Kindle Ranker):</t>
  </si>
  <si>
    <t xml:space="preserve">Share of rows within 0.5x-2x:</t>
  </si>
  <si>
    <t xml:space="preserve">Title (Kindle Ranker list)</t>
  </si>
  <si>
    <t xml:space="preserve">KR BSR</t>
  </si>
  <si>
    <t xml:space="preserve">KR price ($)</t>
  </si>
  <si>
    <t xml:space="preserve">KR monthly sales $</t>
  </si>
  <si>
    <t xml:space="preserve">Curve sales/day at KR BSR</t>
  </si>
  <si>
    <t xml:space="preserve">Curve monthly gross $</t>
  </si>
  <si>
    <t xml:space="preserve">Ratio curve / KR</t>
  </si>
  <si>
    <t xml:space="preserve">Self-published (KR)</t>
  </si>
  <si>
    <t xml:space="preserve">Interior Freedom</t>
  </si>
  <si>
    <t xml:space="preserve">Prayers That Shake Heaven and Earth</t>
  </si>
  <si>
    <t xml:space="preserve">Wisdom of the Heart: Inspiration for a Life Worth Living (Puffy Books)</t>
  </si>
  <si>
    <t xml:space="preserve">The Little White Book: Easter 2025: Reflections on the Resurrection Narrative According to John</t>
  </si>
  <si>
    <t xml:space="preserve">Three Mothers: The Holy Spirit, Mary, and the Church</t>
  </si>
  <si>
    <t xml:space="preserve">Introduction to the Devout Life</t>
  </si>
  <si>
    <t xml:space="preserve">Praying: Finding Our Way Through Duty to Delight</t>
  </si>
  <si>
    <t xml:space="preserve">Enjoy Fresh Fire for Total Victory: I Know the God I Serve (Books for Spiritual Growth)</t>
  </si>
  <si>
    <t xml:space="preserve">Interior Castle (Dover Thrift Editions: Religion)</t>
  </si>
  <si>
    <t xml:space="preserve">Pray a Word a Day: Connecting with God One Word at a Time</t>
  </si>
  <si>
    <t xml:space="preserve">Evenings with Jesus: A Prayer Book of 100 Devotions for a Restful Night's Sleep in God's Grace</t>
  </si>
  <si>
    <t xml:space="preserve">Dismantling Demonic Altars: 50 Prayers Against Santeria, Brujeria, Voodoo, and Witchcraft Altars (Declarations for Breakthrough)</t>
  </si>
  <si>
    <t xml:space="preserve">The Book of Common Prayer: Pocket edition</t>
  </si>
  <si>
    <t xml:space="preserve">The Power of a Praying® Parent</t>
  </si>
  <si>
    <t xml:space="preserve">Team: Getting Things Done with Others</t>
  </si>
  <si>
    <t xml:space="preserve">Just Feel Good: The Secret To The Life You’ve Always Wanted</t>
  </si>
  <si>
    <t xml:space="preserve">Master Your Emotions: A Practical Guide to Overcome Negativity and Better Manage Your Feelings (Mastery Series Book 1)</t>
  </si>
  <si>
    <t xml:space="preserve">Spiritual Intelligence</t>
  </si>
  <si>
    <t xml:space="preserve">Emotional Intelligence: How To Master Self-Awareness, Empathy, and Social Skills for Deeper, More Meaningful Relationships (Emotional Wellness)</t>
  </si>
  <si>
    <t xml:space="preserve">The Mindful Day: Practical Ways to Find Focus, Calm, and Joy From Morning to Evening</t>
  </si>
  <si>
    <t xml:space="preserve">Recharge: Boosting Your Mental Battery, One Conversation at a Time</t>
  </si>
  <si>
    <t xml:space="preserve">Wherever You Go, There You Are: Mindfulness Meditation in Everyday Life</t>
  </si>
  <si>
    <t xml:space="preserve">Master How to Stop Being Toxic: Proven Strategies to Stop Hurting Your Loved Ones, Improve Communication &amp; Emotional Intelligence Skills with Effective Stress Management Techniques</t>
  </si>
  <si>
    <t xml:space="preserve">Burnout: The Secret to Unlocking the Stress Cycle</t>
  </si>
  <si>
    <t xml:space="preserve">Help Me, I Have No Discipline and Zero Self-Control: The Secret Formula to Breaking Bad Habits, Mastering Mental Toughness, and Reaching Your Goals (The Help Me Series)</t>
  </si>
  <si>
    <t xml:space="preserve">Get Your Sh*t Together: How to Stop Worrying About What You Should Do So You Can Finish What You Need to Do and Start Doing What You Want to Do (A No F*cks Given Guide Book 2)</t>
  </si>
  <si>
    <t xml:space="preserve">Why Has Nobody Told Me This Before?</t>
  </si>
  <si>
    <t xml:space="preserve">How to Giggle: A Guide to Taking Life Less Seriously</t>
  </si>
  <si>
    <t xml:space="preserve">Open When: A Companion for Life's Twists &amp; Turns</t>
  </si>
  <si>
    <t xml:space="preserve">The Gifts of Imperfection: Let Go of Who You Think You're Supposed to Be and Embrace Who You Are</t>
  </si>
  <si>
    <t xml:space="preserve">Breaking the Habit of Being Yourself: How to Lose Your Mind and Create a New One</t>
  </si>
  <si>
    <t xml:space="preserve">It's Not You: Identifying and Healing from Narcissistic People</t>
  </si>
  <si>
    <t xml:space="preserve">The Art of Letting Go: Stop Overthinking, Stop Negative Spirals, and Find Emotional Freedom (The Path to Calm Book 13)</t>
  </si>
  <si>
    <t xml:space="preserve">Set Boundaries, Find Peace: A Guide to Reclaiming Yourself</t>
  </si>
  <si>
    <t xml:space="preserve">Dear Narcissist: F*ck You : (Your Closure Is This Book The No-BS Manual for Spotting, Escaping, and Healing from Narcissistic Abuse)</t>
  </si>
  <si>
    <t xml:space="preserve">It Begins with You: The 9 Hard Truths About Love That Will Change Your Life</t>
  </si>
  <si>
    <t xml:space="preserve">Dark Psychology and Covert Manipulation: The Puppet Masters Playbook – Mind Control, Persuasion, and Psychological Warfare Tactics (The Dark Arts of Human Psychology)</t>
  </si>
  <si>
    <t xml:space="preserve">I Wish Someone Had Told Me . . .: The Best Advice for Building a Great Career and a Meaningful Life</t>
  </si>
  <si>
    <t xml:space="preserve">Don't Believe Everything You Think: Why Your Thinking Is The Beginning &amp; End Of Suffering (Beyond Suffering Book 1)</t>
  </si>
  <si>
    <t xml:space="preserve">Unfu*k Yourself: Get Out of Your Head and into Your Life (Unfu*k Yourself series)</t>
  </si>
  <si>
    <t xml:space="preserve">The Lazy Genius Way: Embrace What Matters, Ditch What Doesn't, and Get Stuff Done</t>
  </si>
  <si>
    <t xml:space="preserve">Everything Is F*cked: A Book About Hope (The Subtle Art of Not Giving a F*ck (2 Book Series))</t>
  </si>
  <si>
    <t xml:space="preserve">Grit: The Power of Passion and Perseverance</t>
  </si>
  <si>
    <t xml:space="preserve">Influence, New and Expanded: The Psychology of Persuasion</t>
  </si>
  <si>
    <t xml:space="preserve">The Power of Discipline: How to Use Self Control and Mental Toughness to Achieve Your Goals</t>
  </si>
  <si>
    <t xml:space="preserve">You Are a Badass®: How to Stop Doubting Your Greatness and Start Living an Awesome Life</t>
  </si>
  <si>
    <t xml:space="preserve">The 5 Second Rule: Transform Your Life, Work, and Confidence with Everyday Courage</t>
  </si>
  <si>
    <t xml:space="preserve">The Power of Writing It Down: A Simple Habit to Unlock Your Brain and Reimagine Your Life</t>
  </si>
  <si>
    <t xml:space="preserve">How to Be a Wildflower: A Field Guide</t>
  </si>
  <si>
    <t xml:space="preserve">We Need Your Art: Stop Messing Around and Make Something</t>
  </si>
  <si>
    <t xml:space="preserve">The Somatic Therapy Workbook: Your Companion with Tools and Exercises for Self-Discovery, Trauma Recovery, and Mastering the Mind-Body Connection (Holistic Health)</t>
  </si>
  <si>
    <t xml:space="preserve">Journal with Purpose: Over 1000 motifs, alphabets and icons to personalize or dot journal</t>
  </si>
  <si>
    <t xml:space="preserve">Mastering Positive Thinking - One Day at a Time: A Year of 365 Handpicked Inspirations of Deep &amp; Actionable Wisdom. Each Day, One Page, One Quote, One ... Daily Habit. (One Day at the Time)</t>
  </si>
  <si>
    <t xml:space="preserve">The Art of Journaling: Transforming Thoughts into Actions</t>
  </si>
  <si>
    <t xml:space="preserve">Living Fearless Guided Journal: Exchanging the Lies of the World for the Liberating Truth of God</t>
  </si>
  <si>
    <t xml:space="preserve">Focused Manifesting: 11 Laws of Manifestation to Master Your Mind and Attention - Stay Consistent and Attract Success in a Universe of Distractions (Includes Exercises) (Law of Attraction Book 7)</t>
  </si>
  <si>
    <t xml:space="preserve">Mastering Stoic Virtues – One Day at a Time. A Year of 365 Handpicked Inspirations on Wisdom, Courage, Justice, and Temperance. : Each Day, One Page, One ... Daily Stoic Habit. (One Day at the Time)</t>
  </si>
  <si>
    <t xml:space="preserve">Meditaciones Marco Aurelio en Español: Diario de un Emperador | Los 12 Libros Completos de su Estoicismo con una Traducción Moderna, Comentarios Prácticos ... (Traducida y con Notas) (Spanish Edition)</t>
  </si>
  <si>
    <t xml:space="preserve">The Traditional Home Herbal Apothecary: 300+ Proven Herbal, Natural &amp; Ancient Remedies to Relieve Pain, Heal Quickly, Restore Balance, Boost Energy &amp; Revive ... Wellness (The Herbalist’s Library Book 1)</t>
  </si>
  <si>
    <t xml:space="preserve">The Blood Sugar Solution 10-Day Detox Diet: Activate Your Body's Natural Ability to Burn Fat and Lose Weight Fast (The Dr. Mark Hyman Library Book 3)</t>
  </si>
  <si>
    <t xml:space="preserve">Good Energy: The Surprising Connection Between Metabolism and Limitless Health</t>
  </si>
  <si>
    <t xml:space="preserve">The Complete Self Healing Collection of Natural Herbal Remedies Inspired by Barbara O'Neill: Everything You Need to Know to Restore Your Body’s Ability to Heal Itself</t>
  </si>
  <si>
    <t xml:space="preserve">ROAR, Revised Edition: Match Your Food and Fitness to Your Unique Female Physiology for Optimum Performance, Great Health, and a Strong Body for Life</t>
  </si>
  <si>
    <t xml:space="preserve">So Easy So Good: Delicious Recipes and Expert Tips for Balanced Eating (A Cookbook)</t>
  </si>
  <si>
    <t xml:space="preserve">Young Forever: The Secrets to Living Your Longest, Healthiest Life (The Dr. Mark Hyman Library Book 11)</t>
  </si>
  <si>
    <t xml:space="preserve">The Science-Backed Anti-Inflammatory Diet for Beginners: A Hassle-Free Guide and Simple Meal Plan To Enhance Immunity, Optimize Gut Health, and Reduce Chronic Pain at Any Age</t>
  </si>
  <si>
    <t xml:space="preserve">The Gut-Brain Paradox: Improve Your Mood, Clear Brain Fog, and Reverse Disease by Healing Your Microbiome (The Plant Paradox Book 9)</t>
  </si>
  <si>
    <t xml:space="preserve">Brazilian Mounjaro: The Ultimate Weight Loss Elixir: Shed Pounds and Boost Health Naturally (The Natural Health Advantage Series: Unlocking the Power of ... for Performance, Weight Loss &amp; Longevity)</t>
  </si>
  <si>
    <t xml:space="preserve">The How Not to Die Cookbook: 100+ Recipes to Help Prevent and Reverse Disease</t>
  </si>
  <si>
    <t xml:space="preserve">How to Eat Well for Adults with ADHD: A Practical, Non-Diet Guide to Feeding Your Body &amp; Mind When You Have ADHD</t>
  </si>
  <si>
    <t xml:space="preserve">Intuitive Eating, 4th Edition: A Revolutionary Anti-Diet Approach</t>
  </si>
  <si>
    <t xml:space="preserve">Ultimate Air Fryer Perfection: 185 Remarkable Recipes That Make the Most of Your Air Fryer</t>
  </si>
  <si>
    <t xml:space="preserve">Cheap and Wicked Good! Budget-Friendly Meal Prep Recipes (Simple and Easy Budget Meals)</t>
  </si>
  <si>
    <t xml:space="preserve">Justine Cooks: A Cookbook: Recipes (Mostly Plants) for Finding Your Way in the Kitchen</t>
  </si>
  <si>
    <t xml:space="preserve">The Complete Cast Iron Cookbook: A Tantalizing Collection of Over 240 Recipes for Your Cast-Iron Cookware (Complete Cookbook Collection)</t>
  </si>
  <si>
    <t xml:space="preserve">The Shredded Chef: 125 Recipes for Building Muscle, Getting Lean, and Staying Healthy (The Thinner Leaner Stronger Series Book 3)</t>
  </si>
  <si>
    <t xml:space="preserve">Easy Everyday: 100 Recipes and Meal Prep Ideas for Effortless Eats; A Cookbook</t>
  </si>
  <si>
    <t xml:space="preserve">Baking: Recipes for Cookies, Cupcakes &amp; More (American Girl)</t>
  </si>
  <si>
    <t xml:space="preserve">SIMPLE: effortless food, big flavours</t>
  </si>
  <si>
    <t xml:space="preserve">Easy Weeknight Dinners: 100 Fast, Flavor-Packed Meals for Busy People Who Still Want Something Good to Eat [A Cookbook]</t>
  </si>
  <si>
    <t xml:space="preserve">Dinner’s On, Let’s Eat!: Simple, Delicious and Easy Weeknight Dinners in 30 Minutes or Less. 2000 Days Recipes Cookbook for Busy Lives</t>
  </si>
  <si>
    <t xml:space="preserve">Chasing the Gator: Isaac Toups and the New Cajun Cooking</t>
  </si>
  <si>
    <t xml:space="preserve">Sourdough Discard Recipes Cookbook: The Busy Mom's Guide to Crafting the Most Delicious, Nutritious Delights with All-Natural Ingredients (Baking Bliss with Emma Brooks)</t>
  </si>
  <si>
    <t xml:space="preserve">Kawaii Café Ramen: Classic, Fun, and Delicious Ramen Meals to Make at Home</t>
  </si>
  <si>
    <t xml:space="preserve">As a Man Thinketh (AmazonClassics Edition)</t>
  </si>
  <si>
    <t xml:space="preserve">Jefferson Fisher - Speak with Impact : Master Persuasive Communication, Defuse Conflict and Lead with Confidence</t>
  </si>
  <si>
    <t xml:space="preserve">Declutter Your Home and Heart: Meditation Strategies to Successfully Declutter and Find Your Purpose</t>
  </si>
  <si>
    <t xml:space="preserve">100 Everyday Tips to Make Life Easier</t>
  </si>
  <si>
    <t xml:space="preserve">A Theory of Human Motivation (Hardcover Library Edition)</t>
  </si>
  <si>
    <t xml:space="preserve">Tyranny of the Urgent (IVP Booklets)</t>
  </si>
  <si>
    <t xml:space="preserve">The Million Dollar Secret Hidden in Your Mind (Condensed Classics): The Lost Classic on How to Control Your oughts for Wealth, Power, and Mastery</t>
  </si>
  <si>
    <t xml:space="preserve">The One Sentence Persuasion Course - 27 Words to Make the World Do Your Bidding</t>
  </si>
  <si>
    <t xml:space="preserve">Detachment: 10 Steps to Freedom</t>
  </si>
  <si>
    <t xml:space="preserve">How to Be an Attractive Man</t>
  </si>
  <si>
    <t xml:space="preserve">FLY TO DISCOVER</t>
  </si>
  <si>
    <t xml:space="preserve">Como el Hombre Piensa: Así es su Vida (Spanish Edition)</t>
  </si>
  <si>
    <t xml:space="preserve">Maybe One Day</t>
  </si>
  <si>
    <t xml:space="preserve">Type</t>
  </si>
  <si>
    <t xml:space="preserve">URL</t>
  </si>
  <si>
    <t xml:space="preserve">Accessed</t>
  </si>
  <si>
    <t xml:space="preserve">Access status</t>
  </si>
  <si>
    <t xml:space="preserve">Used for</t>
  </si>
  <si>
    <t xml:space="preserve">Amazon Best Sellers (10 Kindle categories)</t>
  </si>
  <si>
    <t xml:space="preserve">Amazon native</t>
  </si>
  <si>
    <t xml:space="preserve">https://www.amazon.com/gp/bestsellers/digital-text/{node}</t>
  </si>
  <si>
    <t xml:space="preserve">2026-10-07</t>
  </si>
  <si>
    <t xml:space="preserve">OK via HTTP (curl)</t>
  </si>
  <si>
    <t xml:space="preserve">Top 20 ranks, titles, prices, stars, review counts</t>
  </si>
  <si>
    <t xml:space="preserve">Amazon product pages (167 unique ASINs)</t>
  </si>
  <si>
    <t xml:space="preserve">https://www.amazon.com/dp/{ASIN}</t>
  </si>
  <si>
    <t xml:space="preserve">OK with cookie session</t>
  </si>
  <si>
    <t xml:space="preserve">BSR, KU, pages, publisher, file size, date, formats, on-page reviews</t>
  </si>
  <si>
    <t xml:space="preserve">Amazon critical-review pages</t>
  </si>
  <si>
    <t xml:space="preserve">https://www.amazon.com/product-reviews/{ASIN}/?filterByStar=critical</t>
  </si>
  <si>
    <t xml:space="preserve">Blocked: sign-in required</t>
  </si>
  <si>
    <t xml:space="preserve">Not used</t>
  </si>
  <si>
    <t xml:space="preserve">KDP eBook royalty help</t>
  </si>
  <si>
    <t xml:space="preserve">KDP rules</t>
  </si>
  <si>
    <t xml:space="preserve">https://kdp.amazon.com/en_US/help/topic/G200634560</t>
  </si>
  <si>
    <t xml:space="preserve">OK</t>
  </si>
  <si>
    <t xml:space="preserve">70% band $2.99-$12.99 from 2026-07-07</t>
  </si>
  <si>
    <t xml:space="preserve">KDP Digital Book Pricing</t>
  </si>
  <si>
    <t xml:space="preserve">https://kdp.amazon.com/en_US/help/topic/G200634500</t>
  </si>
  <si>
    <t xml:space="preserve">Delivery cost $0.15/MB</t>
  </si>
  <si>
    <t xml:space="preserve">KDP Content Guidelines</t>
  </si>
  <si>
    <t xml:space="preserve">https://kdp.amazon.com/en_US/help/topic/G200672390</t>
  </si>
  <si>
    <t xml:space="preserve">AI-generated vs AI-assisted disclosure</t>
  </si>
  <si>
    <t xml:space="preserve">KDP payment methods</t>
  </si>
  <si>
    <t xml:space="preserve">https://kdp.amazon.com/en_US/help/topic/GJD7DFFX6X88AK46</t>
  </si>
  <si>
    <t xml:space="preserve">Nigeria: NGN wire only</t>
  </si>
  <si>
    <t xml:space="preserve">Kindle Ranker category pages</t>
  </si>
  <si>
    <t xml:space="preserve">Rank/sales tool</t>
  </si>
  <si>
    <t xml:space="preserve">https://www.kindleranker.com/category/{node}/x</t>
  </si>
  <si>
    <t xml:space="preserve">OK (8 of 10 nodes; capture date unknown)</t>
  </si>
  <si>
    <t xml:space="preserve">Category metrics; KR_Crosscheck</t>
  </si>
  <si>
    <t xml:space="preserve">ManuscriptReport category thresholds</t>
  </si>
  <si>
    <t xml:space="preserve">https://manuscriptreport.com/data/kindle-category-sales-thresholds</t>
  </si>
  <si>
    <t xml:space="preserve">#1 / top-10 sales-per-day thresholds</t>
  </si>
  <si>
    <t xml:space="preserve">Goodreads: Stop Overthinking</t>
  </si>
  <si>
    <t xml:space="preserve">Review aggregator</t>
  </si>
  <si>
    <t xml:space="preserve">https://www.goodreads.com/book/show/58276818</t>
  </si>
  <si>
    <t xml:space="preserve">Critical reviews; 3.73 avg / 9,715 ratings</t>
  </si>
  <si>
    <t xml:space="preserve">Written Word Media KDP Global Fund</t>
  </si>
  <si>
    <t xml:space="preserve">https://www.writtenwordmedia.com/kdp-global-fund-payouts/</t>
  </si>
  <si>
    <t xml:space="preserve">OK (updated 2026-09-18)</t>
  </si>
  <si>
    <t xml:space="preserve">Aug 2026 fund $66M; $0.005170/page</t>
  </si>
  <si>
    <t xml:space="preserve">Originality.ai: Success self-help study</t>
  </si>
  <si>
    <t xml:space="preserve">Market context</t>
  </si>
  <si>
    <t xml:space="preserve">https://originality.ai/blog/likely-ai-success-self-help-book-study</t>
  </si>
  <si>
    <t xml:space="preserve">77% likely AI; 26 vs 129 reviews</t>
  </si>
  <si>
    <t xml:space="preserve">Originality.ai: religious books study</t>
  </si>
  <si>
    <t xml:space="preserve">https://originality.ai/blog/religious-books-on-amazon-study</t>
  </si>
  <si>
    <t xml:space="preserve">63% of 2,034 religious titles likely AI</t>
  </si>
  <si>
    <t xml:space="preserve">Authors Guild: KDP volume limits</t>
  </si>
  <si>
    <t xml:space="preserve">https://authorsguild.org/news/amazon-adds-to-kdp-generative-ai-policy-caps-daily-self-publishing-uploads/</t>
  </si>
  <si>
    <t xml:space="preserve">3 new titles/day cap</t>
  </si>
  <si>
    <t xml:space="preserve">WriteO: KDP AI disclosure enforcement</t>
  </si>
  <si>
    <t xml:space="preserve">https://writeo.app/news/amazon-kdp-ai-disclosure-enforcement-2026</t>
  </si>
  <si>
    <t xml:space="preserve">Enforcement escalated April 2026</t>
  </si>
  <si>
    <t xml:space="preserve">BookBloom BSR calibration (Nov 2025)</t>
  </si>
  <si>
    <t xml:space="preserve">(from kindlescout skill reference table)</t>
  </si>
  <si>
    <t xml:space="preserve">2025-11</t>
  </si>
  <si>
    <t xml:space="preserve">Not re-fetched</t>
  </si>
  <si>
    <t xml:space="preserve">BSR_Table</t>
  </si>
  <si>
    <t xml:space="preserve">Vappingo KDP BSR sales estimator</t>
  </si>
  <si>
    <t xml:space="preserve">https://www.vappingo.com/word-blog/kdp-bsr-sales-estimator/</t>
  </si>
  <si>
    <t xml:space="preserve">Search snippet</t>
  </si>
  <si>
    <t xml:space="preserve">BSR band cross-check</t>
  </si>
</sst>
</file>

<file path=xl/styles.xml><?xml version="1.0" encoding="utf-8"?>
<styleSheet xmlns="http://schemas.openxmlformats.org/spreadsheetml/2006/main">
  <numFmts count="11">
    <numFmt numFmtId="164" formatCode="General"/>
    <numFmt numFmtId="165" formatCode="\$#,##0.00"/>
    <numFmt numFmtId="166" formatCode="#,##0"/>
    <numFmt numFmtId="167" formatCode="yyyy\-mm\-dd"/>
    <numFmt numFmtId="168" formatCode="0.0"/>
    <numFmt numFmtId="169" formatCode="0.00"/>
    <numFmt numFmtId="170" formatCode="0%"/>
    <numFmt numFmtId="171" formatCode="\$0.00"/>
    <numFmt numFmtId="172" formatCode="0"/>
    <numFmt numFmtId="173" formatCode="\$0.000000"/>
    <numFmt numFmtId="174"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sz val="10"/>
      <name val="Arial"/>
      <family val="2"/>
    </font>
    <font>
      <sz val="10"/>
      <color rgb="FF00800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0" fontId="8" fillId="3" borderId="0" xfId="0" applyFont="true" applyBorder="false" applyAlignment="false" applyProtection="false">
      <alignment horizontal="general" vertical="bottom" textRotation="0" wrapText="false" indent="0" shrinkToFit="false"/>
      <protection locked="true" hidden="false"/>
    </xf>
    <xf numFmtId="171" fontId="8" fillId="3" borderId="0" xfId="0" applyFont="true" applyBorder="false" applyAlignment="false" applyProtection="false">
      <alignment horizontal="general" vertical="bottom" textRotation="0" wrapText="false" indent="0" shrinkToFit="false"/>
      <protection locked="true" hidden="false"/>
    </xf>
    <xf numFmtId="172" fontId="8" fillId="3" borderId="0" xfId="0" applyFont="true" applyBorder="false" applyAlignment="false" applyProtection="false">
      <alignment horizontal="general" vertical="bottom" textRotation="0" wrapText="false" indent="0" shrinkToFit="false"/>
      <protection locked="true" hidden="false"/>
    </xf>
    <xf numFmtId="173" fontId="8"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0"/>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35.05" hidden="false" customHeight="false" outlineLevel="0" collapsed="false">
      <c r="A5" s="2" t="s">
        <v>5</v>
      </c>
      <c r="B5" s="3" t="s">
        <v>6</v>
      </c>
    </row>
    <row r="6" customFormat="false" ht="23.85" hidden="false" customHeight="false" outlineLevel="0" collapsed="false">
      <c r="A6" s="2" t="s">
        <v>7</v>
      </c>
      <c r="B6" s="3" t="s">
        <v>8</v>
      </c>
    </row>
    <row r="7" customFormat="false" ht="23.85" hidden="false" customHeight="false" outlineLevel="0" collapsed="false">
      <c r="A7" s="2" t="s">
        <v>9</v>
      </c>
      <c r="B7" s="3" t="s">
        <v>10</v>
      </c>
    </row>
    <row r="8" customFormat="false" ht="15" hidden="false" customHeight="false" outlineLevel="0" collapsed="false">
      <c r="A8" s="2" t="s">
        <v>11</v>
      </c>
      <c r="B8" s="3" t="s">
        <v>12</v>
      </c>
    </row>
    <row r="9" customFormat="false" ht="46.25" hidden="false" customHeight="false" outlineLevel="0" collapsed="false">
      <c r="A9" s="2" t="s">
        <v>13</v>
      </c>
      <c r="B9" s="3" t="s">
        <v>14</v>
      </c>
    </row>
    <row r="10" customFormat="false" ht="23.85" hidden="false" customHeight="false" outlineLevel="0" collapsed="false">
      <c r="A10" s="2" t="s">
        <v>15</v>
      </c>
      <c r="B10" s="3" t="s">
        <v>16</v>
      </c>
    </row>
    <row r="11" customFormat="false" ht="23.85" hidden="false" customHeight="false" outlineLevel="0" collapsed="false">
      <c r="A11" s="2" t="s">
        <v>17</v>
      </c>
      <c r="B11" s="3" t="s">
        <v>18</v>
      </c>
    </row>
    <row r="12" customFormat="false" ht="15" hidden="false" customHeight="false" outlineLevel="0" collapsed="false">
      <c r="A12" s="2"/>
      <c r="B12" s="3"/>
    </row>
    <row r="13" customFormat="false" ht="15" hidden="false" customHeight="false" outlineLevel="0" collapsed="false">
      <c r="A13" s="2" t="s">
        <v>19</v>
      </c>
      <c r="B13" s="3"/>
    </row>
    <row r="14" customFormat="false" ht="23.85" hidden="false" customHeight="false" outlineLevel="0" collapsed="false">
      <c r="A14" s="2" t="s">
        <v>20</v>
      </c>
      <c r="B14" s="3" t="s">
        <v>21</v>
      </c>
    </row>
    <row r="15" customFormat="false" ht="35.05" hidden="false" customHeight="false" outlineLevel="0" collapsed="false">
      <c r="A15" s="2" t="s">
        <v>22</v>
      </c>
      <c r="B15" s="3" t="s">
        <v>23</v>
      </c>
    </row>
    <row r="16" customFormat="false" ht="23.85" hidden="false" customHeight="false" outlineLevel="0" collapsed="false">
      <c r="A16" s="2" t="s">
        <v>24</v>
      </c>
      <c r="B16" s="3" t="s">
        <v>25</v>
      </c>
    </row>
    <row r="17" customFormat="false" ht="23.85" hidden="false" customHeight="false" outlineLevel="0" collapsed="false">
      <c r="A17" s="2" t="s">
        <v>26</v>
      </c>
      <c r="B17" s="3" t="s">
        <v>27</v>
      </c>
    </row>
    <row r="18" customFormat="false" ht="23.85" hidden="false" customHeight="false" outlineLevel="0" collapsed="false">
      <c r="A18" s="2" t="s">
        <v>28</v>
      </c>
      <c r="B18" s="3" t="s">
        <v>29</v>
      </c>
    </row>
    <row r="19" customFormat="false" ht="23.85" hidden="false" customHeight="false" outlineLevel="0" collapsed="false">
      <c r="A19" s="2" t="s">
        <v>30</v>
      </c>
      <c r="B19" s="3" t="s">
        <v>31</v>
      </c>
    </row>
    <row r="20" customFormat="false" ht="23.85" hidden="false" customHeight="false" outlineLevel="0" collapsed="false">
      <c r="A20" s="2" t="s">
        <v>32</v>
      </c>
      <c r="B20" s="3" t="s">
        <v>33</v>
      </c>
    </row>
    <row r="21" customFormat="false" ht="23.85" hidden="false" customHeight="false" outlineLevel="0" collapsed="false">
      <c r="A21" s="2" t="s">
        <v>34</v>
      </c>
      <c r="B21" s="3" t="s">
        <v>35</v>
      </c>
    </row>
    <row r="22" customFormat="false" ht="15" hidden="false" customHeight="false" outlineLevel="0" collapsed="false">
      <c r="A22" s="2"/>
      <c r="B22" s="3"/>
    </row>
    <row r="23" customFormat="false" ht="23.85" hidden="false" customHeight="false" outlineLevel="0" collapsed="false">
      <c r="A23" s="2" t="s">
        <v>36</v>
      </c>
      <c r="B23" s="3"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20"/>
    <col collapsed="false" customWidth="true" hidden="false" outlineLevel="0" max="4" min="4" style="0" width="120"/>
  </cols>
  <sheetData>
    <row r="1" customFormat="false" ht="15" hidden="false" customHeight="false" outlineLevel="0" collapsed="false">
      <c r="A1" s="4" t="s">
        <v>38</v>
      </c>
      <c r="B1" s="4" t="s">
        <v>39</v>
      </c>
      <c r="C1" s="4" t="s">
        <v>40</v>
      </c>
      <c r="D1" s="4" t="s">
        <v>41</v>
      </c>
    </row>
    <row r="2" customFormat="false" ht="23.85" hidden="false" customHeight="false" outlineLevel="0" collapsed="false">
      <c r="A2" s="3" t="s">
        <v>42</v>
      </c>
      <c r="B2" s="3" t="s">
        <v>43</v>
      </c>
      <c r="C2" s="3" t="s">
        <v>44</v>
      </c>
      <c r="D2" s="3" t="s">
        <v>45</v>
      </c>
    </row>
    <row r="3" customFormat="false" ht="15" hidden="false" customHeight="false" outlineLevel="0" collapsed="false">
      <c r="A3" s="3" t="s">
        <v>46</v>
      </c>
      <c r="B3" s="3" t="s">
        <v>47</v>
      </c>
      <c r="C3" s="3" t="s">
        <v>44</v>
      </c>
      <c r="D3" s="3" t="s">
        <v>48</v>
      </c>
    </row>
    <row r="4" customFormat="false" ht="23.85" hidden="false" customHeight="false" outlineLevel="0" collapsed="false">
      <c r="A4" s="3" t="s">
        <v>49</v>
      </c>
      <c r="B4" s="3" t="s">
        <v>50</v>
      </c>
      <c r="C4" s="3" t="s">
        <v>44</v>
      </c>
      <c r="D4" s="3" t="s">
        <v>51</v>
      </c>
    </row>
    <row r="5" customFormat="false" ht="15" hidden="false" customHeight="false" outlineLevel="0" collapsed="false">
      <c r="A5" s="3" t="s">
        <v>52</v>
      </c>
      <c r="B5" s="3" t="s">
        <v>53</v>
      </c>
      <c r="C5" s="3" t="s">
        <v>54</v>
      </c>
      <c r="D5" s="3" t="s">
        <v>55</v>
      </c>
    </row>
    <row r="6" customFormat="false" ht="15" hidden="false" customHeight="false" outlineLevel="0" collapsed="false">
      <c r="A6" s="3" t="s">
        <v>56</v>
      </c>
      <c r="B6" s="3" t="s">
        <v>57</v>
      </c>
      <c r="C6" s="3" t="s">
        <v>44</v>
      </c>
      <c r="D6" s="3" t="s">
        <v>58</v>
      </c>
    </row>
    <row r="7" customFormat="false" ht="23.85" hidden="false" customHeight="false" outlineLevel="0" collapsed="false">
      <c r="A7" s="3" t="s">
        <v>59</v>
      </c>
      <c r="B7" s="3" t="s">
        <v>60</v>
      </c>
      <c r="C7" s="3" t="s">
        <v>44</v>
      </c>
      <c r="D7" s="3" t="s">
        <v>61</v>
      </c>
    </row>
    <row r="8" customFormat="false" ht="15" hidden="false" customHeight="false" outlineLevel="0" collapsed="false">
      <c r="A8" s="3" t="s">
        <v>62</v>
      </c>
      <c r="B8" s="3" t="s">
        <v>63</v>
      </c>
      <c r="C8" s="3" t="s">
        <v>44</v>
      </c>
      <c r="D8" s="3" t="s">
        <v>64</v>
      </c>
    </row>
    <row r="9" customFormat="false" ht="15" hidden="false" customHeight="false" outlineLevel="0" collapsed="false">
      <c r="A9" s="3" t="s">
        <v>65</v>
      </c>
      <c r="B9" s="3" t="s">
        <v>66</v>
      </c>
      <c r="C9" s="3" t="s">
        <v>44</v>
      </c>
      <c r="D9" s="3" t="s">
        <v>67</v>
      </c>
    </row>
    <row r="10" customFormat="false" ht="15" hidden="false" customHeight="false" outlineLevel="0" collapsed="false">
      <c r="A10" s="3" t="s">
        <v>68</v>
      </c>
      <c r="B10" s="3" t="s">
        <v>69</v>
      </c>
      <c r="C10" s="3" t="s">
        <v>54</v>
      </c>
      <c r="D10" s="3" t="s">
        <v>70</v>
      </c>
    </row>
    <row r="11" customFormat="false" ht="15" hidden="false" customHeight="false" outlineLevel="0" collapsed="false">
      <c r="A11" s="3" t="s">
        <v>71</v>
      </c>
      <c r="B11" s="3" t="s">
        <v>72</v>
      </c>
      <c r="C11" s="3" t="s">
        <v>73</v>
      </c>
      <c r="D11" s="3" t="s">
        <v>74</v>
      </c>
    </row>
    <row r="12" customFormat="false" ht="15" hidden="false" customHeight="false" outlineLevel="0" collapsed="false">
      <c r="A12" s="3" t="s">
        <v>75</v>
      </c>
      <c r="B12" s="3" t="s">
        <v>76</v>
      </c>
      <c r="C12" s="3" t="s">
        <v>77</v>
      </c>
      <c r="D12" s="3" t="s">
        <v>78</v>
      </c>
    </row>
    <row r="13" customFormat="false" ht="15" hidden="false" customHeight="false" outlineLevel="0" collapsed="false">
      <c r="A13" s="3" t="s">
        <v>79</v>
      </c>
      <c r="B13" s="3" t="s">
        <v>80</v>
      </c>
      <c r="C13" s="3" t="s">
        <v>77</v>
      </c>
      <c r="D13" s="3" t="s">
        <v>81</v>
      </c>
    </row>
    <row r="14" customFormat="false" ht="15" hidden="false" customHeight="false" outlineLevel="0" collapsed="false">
      <c r="A14" s="3" t="s">
        <v>82</v>
      </c>
      <c r="B14" s="3" t="s">
        <v>83</v>
      </c>
      <c r="C14" s="3" t="s">
        <v>77</v>
      </c>
      <c r="D14" s="3" t="s">
        <v>84</v>
      </c>
    </row>
    <row r="15" customFormat="false" ht="15" hidden="false" customHeight="false" outlineLevel="0" collapsed="false">
      <c r="A15" s="3" t="s">
        <v>85</v>
      </c>
      <c r="B15" s="3" t="s">
        <v>86</v>
      </c>
      <c r="C15" s="3" t="s">
        <v>77</v>
      </c>
      <c r="D15" s="3" t="s">
        <v>87</v>
      </c>
    </row>
    <row r="16" customFormat="false" ht="15" hidden="false" customHeight="false" outlineLevel="0" collapsed="false">
      <c r="A16" s="3" t="s">
        <v>88</v>
      </c>
      <c r="B16" s="3" t="s">
        <v>89</v>
      </c>
      <c r="C16" s="3" t="s">
        <v>77</v>
      </c>
      <c r="D16" s="3" t="s">
        <v>90</v>
      </c>
    </row>
    <row r="17" customFormat="false" ht="15" hidden="false" customHeight="false" outlineLevel="0" collapsed="false">
      <c r="A17" s="3" t="s">
        <v>91</v>
      </c>
      <c r="B17" s="3" t="s">
        <v>89</v>
      </c>
      <c r="C17" s="3" t="s">
        <v>77</v>
      </c>
      <c r="D17" s="3" t="s">
        <v>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13"/>
    <col collapsed="false" customWidth="true" hidden="false" outlineLevel="0" max="4" min="4" style="0" width="6"/>
    <col collapsed="false" customWidth="true" hidden="false" outlineLevel="0" max="5" min="5" style="0" width="50"/>
    <col collapsed="false" customWidth="true" hidden="false" outlineLevel="0" max="6" min="6" style="0" width="22"/>
    <col collapsed="false" customWidth="true" hidden="false" outlineLevel="0" max="8" min="7" style="0" width="26"/>
    <col collapsed="false" customWidth="true" hidden="false" outlineLevel="0" max="9" min="9" style="0" width="12"/>
    <col collapsed="false" customWidth="true" hidden="false" outlineLevel="0" max="10" min="10" style="0" width="9"/>
    <col collapsed="false" customWidth="true" hidden="false" outlineLevel="0" max="11" min="11" style="0" width="7"/>
    <col collapsed="false" customWidth="true" hidden="false" outlineLevel="0" max="12" min="12" style="0" width="9"/>
    <col collapsed="false" customWidth="true" hidden="false" outlineLevel="0" max="13" min="13" style="0" width="11"/>
    <col collapsed="false" customWidth="true" hidden="false" outlineLevel="0" max="14" min="14" style="0" width="5"/>
    <col collapsed="false" customWidth="true" hidden="false" outlineLevel="0" max="15" min="15" style="0" width="10"/>
    <col collapsed="false" customWidth="true" hidden="false" outlineLevel="0" max="16" min="16" style="0" width="9"/>
    <col collapsed="false" customWidth="true" hidden="false" outlineLevel="0" max="17" min="17" style="0" width="13"/>
    <col collapsed="false" customWidth="true" hidden="false" outlineLevel="0" max="18" min="18" style="0" width="10"/>
    <col collapsed="false" customWidth="true" hidden="false" outlineLevel="0" max="19" min="19" style="0" width="28"/>
    <col collapsed="false" customWidth="true" hidden="false" outlineLevel="0" max="20" min="20" style="0" width="50"/>
    <col collapsed="false" customWidth="true" hidden="false" outlineLevel="0" max="21" min="21" style="0" width="34"/>
    <col collapsed="false" customWidth="true" hidden="false" outlineLevel="0" max="23" min="23" style="0" width="12"/>
  </cols>
  <sheetData>
    <row r="1" customFormat="false" ht="46.25" hidden="false" customHeight="false" outlineLevel="0" collapsed="false">
      <c r="A1" s="4" t="s">
        <v>93</v>
      </c>
      <c r="B1" s="4" t="s">
        <v>38</v>
      </c>
      <c r="C1" s="4" t="s">
        <v>94</v>
      </c>
      <c r="D1" s="4" t="s">
        <v>95</v>
      </c>
      <c r="E1" s="4" t="s">
        <v>96</v>
      </c>
      <c r="F1" s="4" t="s">
        <v>97</v>
      </c>
      <c r="G1" s="4" t="s">
        <v>98</v>
      </c>
      <c r="H1" s="4" t="s">
        <v>99</v>
      </c>
      <c r="I1" s="4" t="s">
        <v>100</v>
      </c>
      <c r="J1" s="4" t="s">
        <v>101</v>
      </c>
      <c r="K1" s="4" t="s">
        <v>102</v>
      </c>
      <c r="L1" s="4" t="s">
        <v>103</v>
      </c>
      <c r="M1" s="4" t="s">
        <v>104</v>
      </c>
      <c r="N1" s="4" t="s">
        <v>105</v>
      </c>
      <c r="O1" s="4" t="s">
        <v>106</v>
      </c>
      <c r="P1" s="4" t="s">
        <v>107</v>
      </c>
      <c r="Q1" s="4" t="s">
        <v>108</v>
      </c>
      <c r="R1" s="4" t="s">
        <v>109</v>
      </c>
      <c r="S1" s="4" t="s">
        <v>110</v>
      </c>
      <c r="T1" s="4" t="s">
        <v>111</v>
      </c>
      <c r="U1" s="4" t="s">
        <v>112</v>
      </c>
      <c r="W1" s="5" t="s">
        <v>113</v>
      </c>
    </row>
    <row r="2" customFormat="false" ht="15" hidden="false" customHeight="false" outlineLevel="0" collapsed="false">
      <c r="A2" s="6" t="str">
        <f aca="false">B2&amp;"|"&amp;D2</f>
        <v>Prayer|1</v>
      </c>
      <c r="B2" s="6" t="s">
        <v>42</v>
      </c>
      <c r="C2" s="6" t="s">
        <v>43</v>
      </c>
      <c r="D2" s="6" t="n">
        <v>1</v>
      </c>
      <c r="E2" s="6" t="s">
        <v>114</v>
      </c>
      <c r="F2" s="6" t="s">
        <v>115</v>
      </c>
      <c r="G2" s="6" t="s">
        <v>116</v>
      </c>
      <c r="H2" s="6" t="s">
        <v>117</v>
      </c>
      <c r="I2" s="6" t="s">
        <v>118</v>
      </c>
      <c r="J2" s="7" t="n">
        <v>1.99</v>
      </c>
      <c r="K2" s="6" t="n">
        <v>4.5</v>
      </c>
      <c r="L2" s="8" t="n">
        <v>502</v>
      </c>
      <c r="M2" s="8" t="n">
        <v>6841</v>
      </c>
      <c r="N2" s="6" t="s">
        <v>119</v>
      </c>
      <c r="O2" s="6" t="n">
        <v>146</v>
      </c>
      <c r="P2" s="6" t="n">
        <v>1.8</v>
      </c>
      <c r="Q2" s="9" t="n">
        <v>40120</v>
      </c>
      <c r="R2" s="10" t="n">
        <f aca="false">IF(Q2="","",($W$2-Q2)/30.44)</f>
        <v>203.088042049934</v>
      </c>
      <c r="S2" s="6" t="s">
        <v>120</v>
      </c>
      <c r="T2" s="6" t="s">
        <v>121</v>
      </c>
      <c r="U2" s="6" t="s">
        <v>122</v>
      </c>
      <c r="W2" s="11" t="n">
        <v>46302</v>
      </c>
    </row>
    <row r="3" customFormat="false" ht="15" hidden="false" customHeight="false" outlineLevel="0" collapsed="false">
      <c r="A3" s="6" t="str">
        <f aca="false">B3&amp;"|"&amp;D3</f>
        <v>Prayer|2</v>
      </c>
      <c r="B3" s="6" t="s">
        <v>42</v>
      </c>
      <c r="C3" s="6" t="s">
        <v>43</v>
      </c>
      <c r="D3" s="6" t="n">
        <v>2</v>
      </c>
      <c r="E3" s="6" t="s">
        <v>123</v>
      </c>
      <c r="F3" s="6" t="s">
        <v>124</v>
      </c>
      <c r="G3" s="6" t="s">
        <v>125</v>
      </c>
      <c r="H3" s="6" t="s">
        <v>117</v>
      </c>
      <c r="I3" s="6" t="s">
        <v>126</v>
      </c>
      <c r="J3" s="7" t="n">
        <v>4.99</v>
      </c>
      <c r="K3" s="6" t="n">
        <v>4.8</v>
      </c>
      <c r="L3" s="8" t="n">
        <v>3510</v>
      </c>
      <c r="M3" s="8" t="n">
        <v>8407</v>
      </c>
      <c r="N3" s="6" t="s">
        <v>127</v>
      </c>
      <c r="O3" s="6" t="n">
        <v>272</v>
      </c>
      <c r="P3" s="6" t="n">
        <v>4.1</v>
      </c>
      <c r="Q3" s="9" t="n">
        <v>44838</v>
      </c>
      <c r="R3" s="10" t="n">
        <f aca="false">IF(Q3="","",($W$2-Q3)/30.44)</f>
        <v>48.0946123521682</v>
      </c>
      <c r="S3" s="6" t="s">
        <v>128</v>
      </c>
      <c r="T3" s="6" t="s">
        <v>129</v>
      </c>
      <c r="U3" s="6" t="s">
        <v>130</v>
      </c>
    </row>
    <row r="4" customFormat="false" ht="15" hidden="false" customHeight="false" outlineLevel="0" collapsed="false">
      <c r="A4" s="6" t="str">
        <f aca="false">B4&amp;"|"&amp;D4</f>
        <v>Prayer|3</v>
      </c>
      <c r="B4" s="6" t="s">
        <v>42</v>
      </c>
      <c r="C4" s="6" t="s">
        <v>43</v>
      </c>
      <c r="D4" s="6" t="n">
        <v>3</v>
      </c>
      <c r="E4" s="6" t="s">
        <v>131</v>
      </c>
      <c r="F4" s="6" t="s">
        <v>132</v>
      </c>
      <c r="G4" s="6" t="s">
        <v>133</v>
      </c>
      <c r="H4" s="6" t="s">
        <v>117</v>
      </c>
      <c r="I4" s="6" t="s">
        <v>134</v>
      </c>
      <c r="J4" s="7" t="n">
        <v>1.99</v>
      </c>
      <c r="K4" s="6" t="n">
        <v>4.8</v>
      </c>
      <c r="L4" s="8" t="n">
        <v>1748</v>
      </c>
      <c r="M4" s="8" t="n">
        <v>10079</v>
      </c>
      <c r="N4" s="6" t="s">
        <v>119</v>
      </c>
      <c r="O4" s="6" t="n">
        <v>295</v>
      </c>
      <c r="P4" s="6" t="n">
        <v>9.2</v>
      </c>
      <c r="Q4" s="9" t="n">
        <v>45062</v>
      </c>
      <c r="R4" s="10" t="n">
        <f aca="false">IF(Q4="","",($W$2-Q4)/30.44)</f>
        <v>40.7358738501971</v>
      </c>
      <c r="S4" s="6" t="s">
        <v>135</v>
      </c>
      <c r="T4" s="6" t="s">
        <v>136</v>
      </c>
      <c r="U4" s="6" t="s">
        <v>137</v>
      </c>
    </row>
    <row r="5" customFormat="false" ht="15" hidden="false" customHeight="false" outlineLevel="0" collapsed="false">
      <c r="A5" s="6" t="str">
        <f aca="false">B5&amp;"|"&amp;D5</f>
        <v>Prayer|4</v>
      </c>
      <c r="B5" s="6" t="s">
        <v>42</v>
      </c>
      <c r="C5" s="6" t="s">
        <v>43</v>
      </c>
      <c r="D5" s="6" t="n">
        <v>4</v>
      </c>
      <c r="E5" s="6" t="s">
        <v>138</v>
      </c>
      <c r="F5" s="6" t="s">
        <v>124</v>
      </c>
      <c r="G5" s="6" t="s">
        <v>125</v>
      </c>
      <c r="H5" s="6" t="s">
        <v>117</v>
      </c>
      <c r="I5" s="6" t="s">
        <v>139</v>
      </c>
      <c r="J5" s="7" t="n">
        <v>3.99</v>
      </c>
      <c r="K5" s="6" t="n">
        <v>4.8</v>
      </c>
      <c r="L5" s="8" t="n">
        <v>1265</v>
      </c>
      <c r="M5" s="8" t="n">
        <v>10680</v>
      </c>
      <c r="N5" s="6" t="s">
        <v>119</v>
      </c>
      <c r="O5" s="6" t="n">
        <v>256</v>
      </c>
      <c r="P5" s="6" t="n">
        <v>1.3</v>
      </c>
      <c r="Q5" s="9" t="n">
        <v>45685</v>
      </c>
      <c r="R5" s="10" t="n">
        <f aca="false">IF(Q5="","",($W$2-Q5)/30.44)</f>
        <v>20.26938239159</v>
      </c>
      <c r="S5" s="6" t="s">
        <v>140</v>
      </c>
      <c r="T5" s="6" t="s">
        <v>141</v>
      </c>
      <c r="U5" s="6" t="s">
        <v>142</v>
      </c>
    </row>
    <row r="6" customFormat="false" ht="15" hidden="false" customHeight="false" outlineLevel="0" collapsed="false">
      <c r="A6" s="6" t="str">
        <f aca="false">B6&amp;"|"&amp;D6</f>
        <v>Prayer|5</v>
      </c>
      <c r="B6" s="6" t="s">
        <v>42</v>
      </c>
      <c r="C6" s="6" t="s">
        <v>43</v>
      </c>
      <c r="D6" s="6" t="n">
        <v>5</v>
      </c>
      <c r="E6" s="6" t="s">
        <v>143</v>
      </c>
      <c r="F6" s="6" t="s">
        <v>144</v>
      </c>
      <c r="G6" s="6" t="s">
        <v>125</v>
      </c>
      <c r="H6" s="6" t="s">
        <v>117</v>
      </c>
      <c r="I6" s="6" t="s">
        <v>145</v>
      </c>
      <c r="J6" s="7" t="n">
        <v>3.99</v>
      </c>
      <c r="K6" s="6" t="n">
        <v>4.8</v>
      </c>
      <c r="L6" s="8" t="n">
        <v>2380</v>
      </c>
      <c r="M6" s="8" t="n">
        <v>11490</v>
      </c>
      <c r="N6" s="6" t="s">
        <v>127</v>
      </c>
      <c r="O6" s="6" t="n">
        <v>201</v>
      </c>
      <c r="P6" s="6" t="n">
        <v>9.4</v>
      </c>
      <c r="Q6" s="9" t="n">
        <v>44817</v>
      </c>
      <c r="R6" s="10" t="n">
        <f aca="false">IF(Q6="","",($W$2-Q6)/30.44)</f>
        <v>48.784494086728</v>
      </c>
      <c r="S6" s="6" t="s">
        <v>146</v>
      </c>
      <c r="T6" s="6" t="s">
        <v>147</v>
      </c>
      <c r="U6" s="6" t="s">
        <v>148</v>
      </c>
    </row>
    <row r="7" customFormat="false" ht="15" hidden="false" customHeight="false" outlineLevel="0" collapsed="false">
      <c r="A7" s="6" t="str">
        <f aca="false">B7&amp;"|"&amp;D7</f>
        <v>Prayer|6</v>
      </c>
      <c r="B7" s="6" t="s">
        <v>42</v>
      </c>
      <c r="C7" s="6" t="s">
        <v>43</v>
      </c>
      <c r="D7" s="6" t="n">
        <v>6</v>
      </c>
      <c r="E7" s="6" t="s">
        <v>149</v>
      </c>
      <c r="F7" s="6" t="s">
        <v>150</v>
      </c>
      <c r="G7" s="6" t="s">
        <v>151</v>
      </c>
      <c r="H7" s="6" t="s">
        <v>152</v>
      </c>
      <c r="I7" s="6" t="s">
        <v>153</v>
      </c>
      <c r="J7" s="7" t="n">
        <v>4.99</v>
      </c>
      <c r="K7" s="6" t="n">
        <v>4.8</v>
      </c>
      <c r="L7" s="8" t="n">
        <v>482</v>
      </c>
      <c r="M7" s="8" t="n">
        <v>11842</v>
      </c>
      <c r="N7" s="6" t="s">
        <v>127</v>
      </c>
      <c r="O7" s="6" t="n">
        <v>75</v>
      </c>
      <c r="P7" s="6" t="n">
        <v>2.3</v>
      </c>
      <c r="Q7" s="9" t="n">
        <v>45758</v>
      </c>
      <c r="R7" s="10" t="n">
        <f aca="false">IF(Q7="","",($W$2-Q7)/30.44)</f>
        <v>17.8712220762155</v>
      </c>
      <c r="S7" s="6" t="s">
        <v>128</v>
      </c>
      <c r="T7" s="6" t="s">
        <v>154</v>
      </c>
      <c r="U7" s="6" t="s">
        <v>155</v>
      </c>
    </row>
    <row r="8" customFormat="false" ht="15" hidden="false" customHeight="false" outlineLevel="0" collapsed="false">
      <c r="A8" s="6" t="str">
        <f aca="false">B8&amp;"|"&amp;D8</f>
        <v>Prayer|7</v>
      </c>
      <c r="B8" s="6" t="s">
        <v>42</v>
      </c>
      <c r="C8" s="6" t="s">
        <v>43</v>
      </c>
      <c r="D8" s="6" t="n">
        <v>7</v>
      </c>
      <c r="E8" s="6" t="s">
        <v>156</v>
      </c>
      <c r="F8" s="6" t="s">
        <v>157</v>
      </c>
      <c r="G8" s="6" t="s">
        <v>158</v>
      </c>
      <c r="H8" s="6" t="s">
        <v>117</v>
      </c>
      <c r="I8" s="6" t="s">
        <v>159</v>
      </c>
      <c r="J8" s="7" t="n">
        <v>3.99</v>
      </c>
      <c r="K8" s="6" t="n">
        <v>4.8</v>
      </c>
      <c r="L8" s="8" t="n">
        <v>218</v>
      </c>
      <c r="M8" s="8" t="n">
        <v>12101</v>
      </c>
      <c r="N8" s="6" t="s">
        <v>119</v>
      </c>
      <c r="O8" s="6" t="n">
        <v>128</v>
      </c>
      <c r="P8" s="6" t="n">
        <v>0.53</v>
      </c>
      <c r="Q8" s="9" t="n">
        <v>36951</v>
      </c>
      <c r="R8" s="10" t="n">
        <f aca="false">IF(Q8="","",($W$2-Q8)/30.44)</f>
        <v>307.194480946124</v>
      </c>
      <c r="S8" s="6" t="s">
        <v>135</v>
      </c>
      <c r="T8" s="6" t="s">
        <v>160</v>
      </c>
      <c r="U8" s="6" t="s">
        <v>161</v>
      </c>
    </row>
    <row r="9" customFormat="false" ht="15" hidden="false" customHeight="false" outlineLevel="0" collapsed="false">
      <c r="A9" s="6" t="str">
        <f aca="false">B9&amp;"|"&amp;D9</f>
        <v>Prayer|8</v>
      </c>
      <c r="B9" s="6" t="s">
        <v>42</v>
      </c>
      <c r="C9" s="6" t="s">
        <v>43</v>
      </c>
      <c r="D9" s="6" t="n">
        <v>8</v>
      </c>
      <c r="E9" s="6" t="s">
        <v>162</v>
      </c>
      <c r="F9" s="6" t="s">
        <v>163</v>
      </c>
      <c r="G9" s="6" t="s">
        <v>125</v>
      </c>
      <c r="H9" s="6" t="s">
        <v>117</v>
      </c>
      <c r="I9" s="6" t="s">
        <v>164</v>
      </c>
      <c r="J9" s="7" t="n">
        <v>2.99</v>
      </c>
      <c r="K9" s="6" t="n">
        <v>4.8</v>
      </c>
      <c r="L9" s="8" t="n">
        <v>1515</v>
      </c>
      <c r="M9" s="8" t="n">
        <v>12423</v>
      </c>
      <c r="N9" s="6" t="s">
        <v>127</v>
      </c>
      <c r="O9" s="6" t="n">
        <v>272</v>
      </c>
      <c r="P9" s="6" t="n">
        <v>7.3</v>
      </c>
      <c r="Q9" s="9" t="n">
        <v>44922</v>
      </c>
      <c r="R9" s="10" t="n">
        <f aca="false">IF(Q9="","",($W$2-Q9)/30.44)</f>
        <v>45.335085413929</v>
      </c>
      <c r="S9" s="6" t="s">
        <v>165</v>
      </c>
      <c r="T9" s="6" t="s">
        <v>166</v>
      </c>
      <c r="U9" s="6" t="s">
        <v>167</v>
      </c>
    </row>
    <row r="10" customFormat="false" ht="15" hidden="false" customHeight="false" outlineLevel="0" collapsed="false">
      <c r="A10" s="6" t="str">
        <f aca="false">B10&amp;"|"&amp;D10</f>
        <v>Prayer|9</v>
      </c>
      <c r="B10" s="6" t="s">
        <v>42</v>
      </c>
      <c r="C10" s="6" t="s">
        <v>43</v>
      </c>
      <c r="D10" s="6" t="n">
        <v>9</v>
      </c>
      <c r="E10" s="6" t="s">
        <v>168</v>
      </c>
      <c r="F10" s="6" t="s">
        <v>169</v>
      </c>
      <c r="G10" s="6" t="s">
        <v>170</v>
      </c>
      <c r="H10" s="6" t="s">
        <v>171</v>
      </c>
      <c r="I10" s="6" t="s">
        <v>172</v>
      </c>
      <c r="J10" s="7" t="n">
        <v>0.99</v>
      </c>
      <c r="K10" s="6" t="n">
        <v>4.8</v>
      </c>
      <c r="L10" s="8" t="n">
        <v>5222</v>
      </c>
      <c r="M10" s="8" t="n">
        <v>12807</v>
      </c>
      <c r="N10" s="6" t="s">
        <v>119</v>
      </c>
      <c r="O10" s="6" t="n">
        <v>75</v>
      </c>
      <c r="P10" s="6" t="n">
        <v>0.41</v>
      </c>
      <c r="Q10" s="9" t="n">
        <v>45193</v>
      </c>
      <c r="R10" s="10" t="n">
        <f aca="false">IF(Q10="","",($W$2-Q10)/30.44)</f>
        <v>36.4323258869908</v>
      </c>
      <c r="S10" s="6" t="s">
        <v>135</v>
      </c>
      <c r="T10" s="6" t="s">
        <v>173</v>
      </c>
      <c r="U10" s="6" t="s">
        <v>174</v>
      </c>
    </row>
    <row r="11" customFormat="false" ht="15" hidden="false" customHeight="false" outlineLevel="0" collapsed="false">
      <c r="A11" s="6" t="str">
        <f aca="false">B11&amp;"|"&amp;D11</f>
        <v>Prayer|10</v>
      </c>
      <c r="B11" s="6" t="s">
        <v>42</v>
      </c>
      <c r="C11" s="6" t="s">
        <v>43</v>
      </c>
      <c r="D11" s="6" t="n">
        <v>10</v>
      </c>
      <c r="E11" s="6" t="s">
        <v>175</v>
      </c>
      <c r="F11" s="6" t="s">
        <v>176</v>
      </c>
      <c r="G11" s="6" t="s">
        <v>177</v>
      </c>
      <c r="H11" s="6" t="s">
        <v>117</v>
      </c>
      <c r="I11" s="6" t="s">
        <v>178</v>
      </c>
      <c r="J11" s="7" t="n">
        <v>1.99</v>
      </c>
      <c r="K11" s="6" t="n">
        <v>4.8</v>
      </c>
      <c r="L11" s="8" t="n">
        <v>7682</v>
      </c>
      <c r="M11" s="8" t="n">
        <v>12809</v>
      </c>
      <c r="N11" s="6" t="s">
        <v>127</v>
      </c>
      <c r="O11" s="6" t="n">
        <v>131</v>
      </c>
      <c r="P11" s="6" t="n">
        <v>12.5</v>
      </c>
      <c r="Q11" s="9" t="n">
        <v>39677</v>
      </c>
      <c r="R11" s="10" t="n">
        <f aca="false">IF(Q11="","",($W$2-Q11)/30.44)</f>
        <v>217.641261498029</v>
      </c>
      <c r="S11" s="6" t="s">
        <v>179</v>
      </c>
      <c r="T11" s="6" t="s">
        <v>180</v>
      </c>
      <c r="U11" s="6" t="s">
        <v>181</v>
      </c>
    </row>
    <row r="12" customFormat="false" ht="15" hidden="false" customHeight="false" outlineLevel="0" collapsed="false">
      <c r="A12" s="6" t="str">
        <f aca="false">B12&amp;"|"&amp;D12</f>
        <v>Prayer|11</v>
      </c>
      <c r="B12" s="6" t="s">
        <v>42</v>
      </c>
      <c r="C12" s="6" t="s">
        <v>43</v>
      </c>
      <c r="D12" s="6" t="n">
        <v>11</v>
      </c>
      <c r="E12" s="6" t="s">
        <v>182</v>
      </c>
      <c r="F12" s="6" t="s">
        <v>183</v>
      </c>
      <c r="G12" s="6" t="s">
        <v>125</v>
      </c>
      <c r="H12" s="6" t="s">
        <v>117</v>
      </c>
      <c r="I12" s="6" t="s">
        <v>184</v>
      </c>
      <c r="J12" s="7" t="n">
        <v>3.99</v>
      </c>
      <c r="K12" s="6" t="n">
        <v>4.9</v>
      </c>
      <c r="L12" s="8" t="n">
        <v>1346</v>
      </c>
      <c r="M12" s="8" t="n">
        <v>16726</v>
      </c>
      <c r="N12" s="6" t="s">
        <v>127</v>
      </c>
      <c r="O12" s="6" t="n">
        <v>381</v>
      </c>
      <c r="P12" s="6" t="n">
        <v>1.1</v>
      </c>
      <c r="Q12" s="9" t="n">
        <v>45223</v>
      </c>
      <c r="R12" s="10" t="n">
        <f aca="false">IF(Q12="","",($W$2-Q12)/30.44)</f>
        <v>35.4467805519054</v>
      </c>
      <c r="S12" s="6" t="s">
        <v>185</v>
      </c>
      <c r="T12" s="6" t="s">
        <v>186</v>
      </c>
      <c r="U12" s="6" t="s">
        <v>187</v>
      </c>
    </row>
    <row r="13" customFormat="false" ht="15" hidden="false" customHeight="false" outlineLevel="0" collapsed="false">
      <c r="A13" s="6" t="str">
        <f aca="false">B13&amp;"|"&amp;D13</f>
        <v>Prayer|12</v>
      </c>
      <c r="B13" s="6" t="s">
        <v>42</v>
      </c>
      <c r="C13" s="6" t="s">
        <v>43</v>
      </c>
      <c r="D13" s="6" t="n">
        <v>12</v>
      </c>
      <c r="E13" s="6" t="s">
        <v>188</v>
      </c>
      <c r="F13" s="6" t="s">
        <v>189</v>
      </c>
      <c r="G13" s="6" t="s">
        <v>177</v>
      </c>
      <c r="H13" s="6" t="s">
        <v>117</v>
      </c>
      <c r="I13" s="6" t="s">
        <v>190</v>
      </c>
      <c r="J13" s="7" t="n">
        <v>1.99</v>
      </c>
      <c r="K13" s="6" t="n">
        <v>4.8</v>
      </c>
      <c r="L13" s="8" t="n">
        <v>1376</v>
      </c>
      <c r="M13" s="8" t="n">
        <v>19206</v>
      </c>
      <c r="N13" s="6" t="s">
        <v>127</v>
      </c>
      <c r="O13" s="6" t="n">
        <v>272</v>
      </c>
      <c r="P13" s="6" t="n">
        <v>2.1</v>
      </c>
      <c r="Q13" s="9" t="n">
        <v>44621</v>
      </c>
      <c r="R13" s="10" t="n">
        <f aca="false">IF(Q13="","",($W$2-Q13)/30.44)</f>
        <v>55.2233902759527</v>
      </c>
      <c r="S13" s="6" t="s">
        <v>165</v>
      </c>
      <c r="T13" s="6" t="s">
        <v>191</v>
      </c>
      <c r="U13" s="6" t="s">
        <v>192</v>
      </c>
    </row>
    <row r="14" customFormat="false" ht="15" hidden="false" customHeight="false" outlineLevel="0" collapsed="false">
      <c r="A14" s="6" t="str">
        <f aca="false">B14&amp;"|"&amp;D14</f>
        <v>Prayer|13</v>
      </c>
      <c r="B14" s="6" t="s">
        <v>42</v>
      </c>
      <c r="C14" s="6" t="s">
        <v>43</v>
      </c>
      <c r="D14" s="6" t="n">
        <v>13</v>
      </c>
      <c r="E14" s="6" t="s">
        <v>193</v>
      </c>
      <c r="F14" s="6" t="s">
        <v>194</v>
      </c>
      <c r="G14" s="6" t="s">
        <v>125</v>
      </c>
      <c r="H14" s="6" t="s">
        <v>117</v>
      </c>
      <c r="I14" s="6" t="s">
        <v>195</v>
      </c>
      <c r="J14" s="7" t="n">
        <v>3.99</v>
      </c>
      <c r="K14" s="6" t="n">
        <v>4.8</v>
      </c>
      <c r="L14" s="8" t="n">
        <v>10335</v>
      </c>
      <c r="M14" s="8" t="n">
        <v>21263</v>
      </c>
      <c r="N14" s="6" t="s">
        <v>127</v>
      </c>
      <c r="O14" s="6" t="n">
        <v>392</v>
      </c>
      <c r="P14" s="6" t="n">
        <v>1.2</v>
      </c>
      <c r="Q14" s="9" t="n">
        <v>44474</v>
      </c>
      <c r="R14" s="10" t="n">
        <f aca="false">IF(Q14="","",($W$2-Q14)/30.44)</f>
        <v>60.0525624178712</v>
      </c>
      <c r="S14" s="6" t="s">
        <v>146</v>
      </c>
      <c r="T14" s="6" t="s">
        <v>196</v>
      </c>
      <c r="U14" s="6" t="s">
        <v>197</v>
      </c>
    </row>
    <row r="15" customFormat="false" ht="15" hidden="false" customHeight="false" outlineLevel="0" collapsed="false">
      <c r="A15" s="6" t="str">
        <f aca="false">B15&amp;"|"&amp;D15</f>
        <v>Prayer|14</v>
      </c>
      <c r="B15" s="6" t="s">
        <v>42</v>
      </c>
      <c r="C15" s="6" t="s">
        <v>43</v>
      </c>
      <c r="D15" s="6" t="n">
        <v>14</v>
      </c>
      <c r="E15" s="6" t="s">
        <v>198</v>
      </c>
      <c r="F15" s="6" t="s">
        <v>183</v>
      </c>
      <c r="G15" s="6" t="s">
        <v>177</v>
      </c>
      <c r="H15" s="6" t="s">
        <v>117</v>
      </c>
      <c r="I15" s="6" t="s">
        <v>199</v>
      </c>
      <c r="J15" s="7" t="n">
        <v>3.99</v>
      </c>
      <c r="K15" s="6" t="n">
        <v>4.8</v>
      </c>
      <c r="L15" s="8" t="n">
        <v>1244</v>
      </c>
      <c r="M15" s="8" t="n">
        <v>25925</v>
      </c>
      <c r="N15" s="6" t="s">
        <v>119</v>
      </c>
      <c r="O15" s="6" t="n">
        <v>236</v>
      </c>
      <c r="P15" s="6" t="n">
        <v>5.5</v>
      </c>
      <c r="Q15" s="9" t="n">
        <v>44502</v>
      </c>
      <c r="R15" s="10" t="n">
        <f aca="false">IF(Q15="","",($W$2-Q15)/30.44)</f>
        <v>59.1327201051248</v>
      </c>
      <c r="S15" s="6" t="s">
        <v>140</v>
      </c>
      <c r="T15" s="6" t="s">
        <v>200</v>
      </c>
      <c r="U15" s="6" t="s">
        <v>201</v>
      </c>
    </row>
    <row r="16" customFormat="false" ht="15" hidden="false" customHeight="false" outlineLevel="0" collapsed="false">
      <c r="A16" s="6" t="str">
        <f aca="false">B16&amp;"|"&amp;D16</f>
        <v>Prayer|15</v>
      </c>
      <c r="B16" s="6" t="s">
        <v>42</v>
      </c>
      <c r="C16" s="6" t="s">
        <v>43</v>
      </c>
      <c r="D16" s="6" t="n">
        <v>15</v>
      </c>
      <c r="E16" s="6" t="s">
        <v>202</v>
      </c>
      <c r="F16" s="6" t="s">
        <v>203</v>
      </c>
      <c r="G16" s="6" t="s">
        <v>204</v>
      </c>
      <c r="H16" s="6" t="s">
        <v>205</v>
      </c>
      <c r="I16" s="6" t="s">
        <v>206</v>
      </c>
      <c r="J16" s="7" t="n">
        <v>5.95</v>
      </c>
      <c r="K16" s="6" t="n">
        <v>4.8</v>
      </c>
      <c r="L16" s="8" t="n">
        <v>224</v>
      </c>
      <c r="M16" s="8" t="n">
        <v>27249</v>
      </c>
      <c r="N16" s="6" t="s">
        <v>127</v>
      </c>
      <c r="O16" s="6" t="n">
        <v>126</v>
      </c>
      <c r="P16" s="6" t="n">
        <v>1.2</v>
      </c>
      <c r="Q16" s="9" t="n">
        <v>45939</v>
      </c>
      <c r="R16" s="10" t="n">
        <f aca="false">IF(Q16="","",($W$2-Q16)/30.44)</f>
        <v>11.9250985545335</v>
      </c>
      <c r="S16" s="6" t="s">
        <v>140</v>
      </c>
      <c r="T16" s="6" t="s">
        <v>207</v>
      </c>
      <c r="U16" s="6" t="s">
        <v>208</v>
      </c>
    </row>
    <row r="17" customFormat="false" ht="15" hidden="false" customHeight="false" outlineLevel="0" collapsed="false">
      <c r="A17" s="6" t="str">
        <f aca="false">B17&amp;"|"&amp;D17</f>
        <v>Prayer|16</v>
      </c>
      <c r="B17" s="6" t="s">
        <v>42</v>
      </c>
      <c r="C17" s="6" t="s">
        <v>43</v>
      </c>
      <c r="D17" s="6" t="n">
        <v>16</v>
      </c>
      <c r="E17" s="6" t="s">
        <v>209</v>
      </c>
      <c r="F17" s="6" t="s">
        <v>210</v>
      </c>
      <c r="G17" s="6" t="s">
        <v>125</v>
      </c>
      <c r="H17" s="6" t="s">
        <v>117</v>
      </c>
      <c r="I17" s="6" t="s">
        <v>211</v>
      </c>
      <c r="J17" s="7" t="n">
        <v>3.99</v>
      </c>
      <c r="K17" s="6" t="n">
        <v>4.8</v>
      </c>
      <c r="L17" s="8" t="n">
        <v>479</v>
      </c>
      <c r="M17" s="8" t="n">
        <v>28989</v>
      </c>
      <c r="N17" s="6" t="s">
        <v>127</v>
      </c>
      <c r="O17" s="6" t="n">
        <v>140</v>
      </c>
      <c r="P17" s="6" t="n">
        <v>40.8</v>
      </c>
      <c r="Q17" s="9" t="n">
        <v>45566</v>
      </c>
      <c r="R17" s="10" t="n">
        <f aca="false">IF(Q17="","",($W$2-Q17)/30.44)</f>
        <v>24.1787122207622</v>
      </c>
      <c r="S17" s="6" t="s">
        <v>212</v>
      </c>
      <c r="T17" s="6" t="s">
        <v>213</v>
      </c>
      <c r="U17" s="6" t="s">
        <v>214</v>
      </c>
    </row>
    <row r="18" customFormat="false" ht="15" hidden="false" customHeight="false" outlineLevel="0" collapsed="false">
      <c r="A18" s="6" t="str">
        <f aca="false">B18&amp;"|"&amp;D18</f>
        <v>Prayer|17</v>
      </c>
      <c r="B18" s="6" t="s">
        <v>42</v>
      </c>
      <c r="C18" s="6" t="s">
        <v>43</v>
      </c>
      <c r="D18" s="6" t="n">
        <v>17</v>
      </c>
      <c r="E18" s="6" t="s">
        <v>215</v>
      </c>
      <c r="F18" s="6" t="s">
        <v>216</v>
      </c>
      <c r="G18" s="6" t="s">
        <v>217</v>
      </c>
      <c r="H18" s="6" t="s">
        <v>117</v>
      </c>
      <c r="I18" s="6" t="s">
        <v>218</v>
      </c>
      <c r="J18" s="7" t="n">
        <v>12.99</v>
      </c>
      <c r="K18" s="6" t="n">
        <v>4.6</v>
      </c>
      <c r="L18" s="8" t="n">
        <v>8086</v>
      </c>
      <c r="M18" s="8" t="n">
        <v>29184</v>
      </c>
      <c r="N18" s="6" t="s">
        <v>127</v>
      </c>
      <c r="O18" s="6" t="n">
        <v>339</v>
      </c>
      <c r="P18" s="6" t="n">
        <v>2.6</v>
      </c>
      <c r="Q18" s="9" t="n">
        <v>40099</v>
      </c>
      <c r="R18" s="10" t="n">
        <f aca="false">IF(Q18="","",($W$2-Q18)/30.44)</f>
        <v>203.777923784494</v>
      </c>
      <c r="S18" s="6" t="s">
        <v>140</v>
      </c>
      <c r="T18" s="6" t="s">
        <v>219</v>
      </c>
      <c r="U18" s="6" t="s">
        <v>220</v>
      </c>
    </row>
    <row r="19" customFormat="false" ht="15" hidden="false" customHeight="false" outlineLevel="0" collapsed="false">
      <c r="A19" s="6" t="str">
        <f aca="false">B19&amp;"|"&amp;D19</f>
        <v>Prayer|18</v>
      </c>
      <c r="B19" s="6" t="s">
        <v>42</v>
      </c>
      <c r="C19" s="6" t="s">
        <v>43</v>
      </c>
      <c r="D19" s="6" t="n">
        <v>18</v>
      </c>
      <c r="E19" s="6" t="s">
        <v>221</v>
      </c>
      <c r="F19" s="6" t="s">
        <v>222</v>
      </c>
      <c r="G19" s="6" t="s">
        <v>223</v>
      </c>
      <c r="H19" s="6" t="s">
        <v>117</v>
      </c>
      <c r="I19" s="6" t="s">
        <v>224</v>
      </c>
      <c r="J19" s="7" t="n">
        <v>1.99</v>
      </c>
      <c r="K19" s="6" t="n">
        <v>4.8</v>
      </c>
      <c r="L19" s="8" t="n">
        <v>3150</v>
      </c>
      <c r="M19" s="8" t="n">
        <v>30929</v>
      </c>
      <c r="N19" s="6" t="s">
        <v>119</v>
      </c>
      <c r="O19" s="6" t="n">
        <v>98</v>
      </c>
      <c r="P19" s="6" t="n">
        <v>0.18</v>
      </c>
      <c r="Q19" s="9" t="n">
        <v>40262</v>
      </c>
      <c r="R19" s="10" t="n">
        <f aca="false">IF(Q19="","",($W$2-Q19)/30.44)</f>
        <v>198.423127463863</v>
      </c>
      <c r="S19" s="6" t="s">
        <v>140</v>
      </c>
      <c r="T19" s="6" t="s">
        <v>225</v>
      </c>
      <c r="U19" s="6" t="s">
        <v>226</v>
      </c>
    </row>
    <row r="20" customFormat="false" ht="15" hidden="false" customHeight="false" outlineLevel="0" collapsed="false">
      <c r="A20" s="6" t="str">
        <f aca="false">B20&amp;"|"&amp;D20</f>
        <v>Prayer|19</v>
      </c>
      <c r="B20" s="6" t="s">
        <v>42</v>
      </c>
      <c r="C20" s="6" t="s">
        <v>43</v>
      </c>
      <c r="D20" s="6" t="n">
        <v>19</v>
      </c>
      <c r="E20" s="6" t="s">
        <v>227</v>
      </c>
      <c r="F20" s="6" t="s">
        <v>228</v>
      </c>
      <c r="G20" s="6" t="s">
        <v>125</v>
      </c>
      <c r="H20" s="6" t="s">
        <v>117</v>
      </c>
      <c r="I20" s="6" t="s">
        <v>229</v>
      </c>
      <c r="J20" s="7" t="n">
        <v>3.99</v>
      </c>
      <c r="K20" s="6" t="n">
        <v>4.8</v>
      </c>
      <c r="L20" s="8" t="n">
        <v>317</v>
      </c>
      <c r="M20" s="8" t="n">
        <v>32016</v>
      </c>
      <c r="N20" s="6" t="s">
        <v>127</v>
      </c>
      <c r="O20" s="6" t="n">
        <v>189</v>
      </c>
      <c r="P20" s="6" t="n">
        <v>13.2</v>
      </c>
      <c r="Q20" s="9" t="n">
        <v>45790</v>
      </c>
      <c r="R20" s="10" t="n">
        <f aca="false">IF(Q20="","",($W$2-Q20)/30.44)</f>
        <v>16.8199737187911</v>
      </c>
      <c r="S20" s="6" t="s">
        <v>146</v>
      </c>
      <c r="T20" s="6" t="s">
        <v>230</v>
      </c>
      <c r="U20" s="6" t="s">
        <v>231</v>
      </c>
    </row>
    <row r="21" customFormat="false" ht="15" hidden="false" customHeight="false" outlineLevel="0" collapsed="false">
      <c r="A21" s="6" t="str">
        <f aca="false">B21&amp;"|"&amp;D21</f>
        <v>Prayer|20</v>
      </c>
      <c r="B21" s="6" t="s">
        <v>42</v>
      </c>
      <c r="C21" s="6" t="s">
        <v>43</v>
      </c>
      <c r="D21" s="6" t="n">
        <v>20</v>
      </c>
      <c r="E21" s="6" t="s">
        <v>232</v>
      </c>
      <c r="F21" s="6" t="s">
        <v>233</v>
      </c>
      <c r="G21" s="6" t="s">
        <v>177</v>
      </c>
      <c r="H21" s="6" t="s">
        <v>117</v>
      </c>
      <c r="I21" s="6" t="s">
        <v>234</v>
      </c>
      <c r="J21" s="7" t="n">
        <v>12.99</v>
      </c>
      <c r="K21" s="6" t="n">
        <v>4.8</v>
      </c>
      <c r="L21" s="8" t="n">
        <v>8791</v>
      </c>
      <c r="M21" s="8" t="n">
        <v>33340</v>
      </c>
      <c r="N21" s="6" t="s">
        <v>127</v>
      </c>
      <c r="O21" s="6" t="n">
        <v>237</v>
      </c>
      <c r="P21" s="6" t="n">
        <v>2.2</v>
      </c>
      <c r="Q21" s="9" t="n">
        <v>42710</v>
      </c>
      <c r="R21" s="10" t="n">
        <f aca="false">IF(Q21="","",($W$2-Q21)/30.44)</f>
        <v>118.002628120894</v>
      </c>
      <c r="S21" s="6" t="s">
        <v>140</v>
      </c>
      <c r="T21" s="6" t="s">
        <v>235</v>
      </c>
      <c r="U21" s="6" t="s">
        <v>236</v>
      </c>
    </row>
    <row r="22" customFormat="false" ht="15" hidden="false" customHeight="false" outlineLevel="0" collapsed="false">
      <c r="A22" s="6" t="str">
        <f aca="false">B22&amp;"|"&amp;D22</f>
        <v>Stress Management|1</v>
      </c>
      <c r="B22" s="6" t="s">
        <v>46</v>
      </c>
      <c r="C22" s="6" t="s">
        <v>47</v>
      </c>
      <c r="D22" s="6" t="n">
        <v>1</v>
      </c>
      <c r="E22" s="6" t="s">
        <v>237</v>
      </c>
      <c r="F22" s="6" t="s">
        <v>238</v>
      </c>
      <c r="G22" s="6" t="s">
        <v>239</v>
      </c>
      <c r="H22" s="6" t="s">
        <v>117</v>
      </c>
      <c r="I22" s="6" t="s">
        <v>240</v>
      </c>
      <c r="J22" s="7" t="n">
        <v>16.99</v>
      </c>
      <c r="K22" s="6" t="n">
        <v>4.6</v>
      </c>
      <c r="L22" s="8" t="n">
        <v>242</v>
      </c>
      <c r="M22" s="8" t="n">
        <v>426</v>
      </c>
      <c r="N22" s="6" t="s">
        <v>119</v>
      </c>
      <c r="O22" s="6" t="n">
        <v>688</v>
      </c>
      <c r="P22" s="6" t="n">
        <v>2.3</v>
      </c>
      <c r="Q22" s="9" t="n">
        <v>46280</v>
      </c>
      <c r="R22" s="10" t="n">
        <f aca="false">IF(Q22="","",($W$2-Q22)/30.44)</f>
        <v>0.722733245729304</v>
      </c>
      <c r="S22" s="6" t="s">
        <v>185</v>
      </c>
      <c r="T22" s="6" t="s">
        <v>241</v>
      </c>
      <c r="U22" s="6" t="s">
        <v>242</v>
      </c>
    </row>
    <row r="23" customFormat="false" ht="15" hidden="false" customHeight="false" outlineLevel="0" collapsed="false">
      <c r="A23" s="6" t="str">
        <f aca="false">B23&amp;"|"&amp;D23</f>
        <v>Stress Management|2</v>
      </c>
      <c r="B23" s="6" t="s">
        <v>46</v>
      </c>
      <c r="C23" s="6" t="s">
        <v>47</v>
      </c>
      <c r="D23" s="6" t="n">
        <v>2</v>
      </c>
      <c r="E23" s="6" t="s">
        <v>243</v>
      </c>
      <c r="F23" s="6" t="s">
        <v>244</v>
      </c>
      <c r="G23" s="6" t="s">
        <v>245</v>
      </c>
      <c r="H23" s="6" t="s">
        <v>205</v>
      </c>
      <c r="I23" s="6" t="s">
        <v>246</v>
      </c>
      <c r="J23" s="7" t="n">
        <v>9.99</v>
      </c>
      <c r="K23" s="6" t="n">
        <v>4.7</v>
      </c>
      <c r="L23" s="8" t="n">
        <v>4076</v>
      </c>
      <c r="M23" s="8" t="n">
        <v>1695</v>
      </c>
      <c r="N23" s="6" t="s">
        <v>119</v>
      </c>
      <c r="O23" s="6" t="n">
        <v>171</v>
      </c>
      <c r="P23" s="6" t="n">
        <v>1.8</v>
      </c>
      <c r="Q23" s="9" t="n">
        <v>45839</v>
      </c>
      <c r="R23" s="10" t="n">
        <f aca="false">IF(Q23="","",($W$2-Q23)/30.44)</f>
        <v>15.2102496714849</v>
      </c>
      <c r="S23" s="6" t="s">
        <v>140</v>
      </c>
      <c r="T23" s="6" t="s">
        <v>247</v>
      </c>
      <c r="U23" s="6" t="s">
        <v>248</v>
      </c>
    </row>
    <row r="24" customFormat="false" ht="15" hidden="false" customHeight="false" outlineLevel="0" collapsed="false">
      <c r="A24" s="6" t="str">
        <f aca="false">B24&amp;"|"&amp;D24</f>
        <v>Stress Management|3</v>
      </c>
      <c r="B24" s="6" t="s">
        <v>46</v>
      </c>
      <c r="C24" s="6" t="s">
        <v>47</v>
      </c>
      <c r="D24" s="6" t="n">
        <v>3</v>
      </c>
      <c r="E24" s="6" t="s">
        <v>249</v>
      </c>
      <c r="F24" s="6" t="s">
        <v>250</v>
      </c>
      <c r="G24" s="6" t="s">
        <v>251</v>
      </c>
      <c r="H24" s="6" t="s">
        <v>117</v>
      </c>
      <c r="I24" s="6" t="s">
        <v>252</v>
      </c>
      <c r="J24" s="7" t="n">
        <v>1.99</v>
      </c>
      <c r="K24" s="6" t="n">
        <v>4.6</v>
      </c>
      <c r="L24" s="8" t="n">
        <v>6113</v>
      </c>
      <c r="M24" s="8" t="n">
        <v>2112</v>
      </c>
      <c r="N24" s="6" t="s">
        <v>119</v>
      </c>
      <c r="O24" s="6" t="n">
        <v>308</v>
      </c>
      <c r="P24" s="6" t="n">
        <v>3</v>
      </c>
      <c r="Q24" s="9" t="n">
        <v>44747</v>
      </c>
      <c r="R24" s="10" t="n">
        <f aca="false">IF(Q24="","",($W$2-Q24)/30.44)</f>
        <v>51.084099868594</v>
      </c>
      <c r="S24" s="6" t="s">
        <v>253</v>
      </c>
      <c r="T24" s="6" t="s">
        <v>254</v>
      </c>
      <c r="U24" s="6" t="s">
        <v>255</v>
      </c>
    </row>
    <row r="25" customFormat="false" ht="15" hidden="false" customHeight="false" outlineLevel="0" collapsed="false">
      <c r="A25" s="6" t="str">
        <f aca="false">B25&amp;"|"&amp;D25</f>
        <v>Stress Management|4</v>
      </c>
      <c r="B25" s="6" t="s">
        <v>46</v>
      </c>
      <c r="C25" s="6" t="s">
        <v>47</v>
      </c>
      <c r="D25" s="6" t="n">
        <v>4</v>
      </c>
      <c r="E25" s="6" t="s">
        <v>256</v>
      </c>
      <c r="F25" s="6" t="s">
        <v>257</v>
      </c>
      <c r="G25" s="6" t="s">
        <v>151</v>
      </c>
      <c r="H25" s="6" t="s">
        <v>152</v>
      </c>
      <c r="I25" s="6" t="s">
        <v>258</v>
      </c>
      <c r="J25" s="7" t="n">
        <v>2.99</v>
      </c>
      <c r="K25" s="6" t="n">
        <v>4.2</v>
      </c>
      <c r="L25" s="8" t="n">
        <v>15783</v>
      </c>
      <c r="M25" s="8" t="n">
        <v>2573</v>
      </c>
      <c r="N25" s="6" t="s">
        <v>127</v>
      </c>
      <c r="O25" s="6" t="n">
        <v>65</v>
      </c>
      <c r="P25" s="6" t="n">
        <v>1.3</v>
      </c>
      <c r="Q25" s="9" t="n">
        <v>44381</v>
      </c>
      <c r="R25" s="10" t="n">
        <f aca="false">IF(Q25="","",($W$2-Q25)/30.44)</f>
        <v>63.107752956636</v>
      </c>
      <c r="S25" s="6" t="s">
        <v>253</v>
      </c>
      <c r="T25" s="6" t="s">
        <v>259</v>
      </c>
      <c r="U25" s="6" t="s">
        <v>260</v>
      </c>
    </row>
    <row r="26" customFormat="false" ht="15" hidden="false" customHeight="false" outlineLevel="0" collapsed="false">
      <c r="A26" s="6" t="str">
        <f aca="false">B26&amp;"|"&amp;D26</f>
        <v>Stress Management|5</v>
      </c>
      <c r="B26" s="6" t="s">
        <v>46</v>
      </c>
      <c r="C26" s="6" t="s">
        <v>47</v>
      </c>
      <c r="D26" s="6" t="n">
        <v>5</v>
      </c>
      <c r="E26" s="6" t="s">
        <v>261</v>
      </c>
      <c r="F26" s="6" t="s">
        <v>262</v>
      </c>
      <c r="G26" s="6" t="s">
        <v>177</v>
      </c>
      <c r="H26" s="6" t="s">
        <v>117</v>
      </c>
      <c r="I26" s="6" t="s">
        <v>263</v>
      </c>
      <c r="J26" s="7" t="n">
        <v>3.99</v>
      </c>
      <c r="K26" s="6" t="n">
        <v>4.8</v>
      </c>
      <c r="L26" s="8" t="n">
        <v>12035</v>
      </c>
      <c r="M26" s="8" t="n">
        <v>2729</v>
      </c>
      <c r="N26" s="6" t="s">
        <v>127</v>
      </c>
      <c r="O26" s="6" t="n">
        <v>256</v>
      </c>
      <c r="P26" s="6" t="n">
        <v>3.9</v>
      </c>
      <c r="Q26" s="9" t="n">
        <v>44243</v>
      </c>
      <c r="R26" s="10" t="n">
        <f aca="false">IF(Q26="","",($W$2-Q26)/30.44)</f>
        <v>67.6412614980289</v>
      </c>
      <c r="S26" s="6" t="s">
        <v>140</v>
      </c>
      <c r="T26" s="6" t="s">
        <v>264</v>
      </c>
      <c r="U26" s="6" t="s">
        <v>265</v>
      </c>
    </row>
    <row r="27" customFormat="false" ht="15" hidden="false" customHeight="false" outlineLevel="0" collapsed="false">
      <c r="A27" s="6" t="str">
        <f aca="false">B27&amp;"|"&amp;D27</f>
        <v>Stress Management|6</v>
      </c>
      <c r="B27" s="6" t="s">
        <v>46</v>
      </c>
      <c r="C27" s="6" t="s">
        <v>47</v>
      </c>
      <c r="D27" s="6" t="n">
        <v>6</v>
      </c>
      <c r="E27" s="6" t="s">
        <v>266</v>
      </c>
      <c r="F27" s="6" t="s">
        <v>267</v>
      </c>
      <c r="G27" s="6" t="s">
        <v>125</v>
      </c>
      <c r="H27" s="6" t="s">
        <v>117</v>
      </c>
      <c r="I27" s="6" t="s">
        <v>268</v>
      </c>
      <c r="J27" s="7" t="n">
        <v>14.99</v>
      </c>
      <c r="K27" s="6" t="n">
        <v>4.7</v>
      </c>
      <c r="L27" s="8" t="n">
        <v>75</v>
      </c>
      <c r="M27" s="8" t="n">
        <v>3427</v>
      </c>
      <c r="N27" s="6" t="s">
        <v>119</v>
      </c>
      <c r="O27" s="6" t="n">
        <v>254</v>
      </c>
      <c r="P27" s="6" t="n">
        <v>5</v>
      </c>
      <c r="Q27" s="9" t="n">
        <v>46280</v>
      </c>
      <c r="R27" s="10" t="n">
        <f aca="false">IF(Q27="","",($W$2-Q27)/30.44)</f>
        <v>0.722733245729304</v>
      </c>
      <c r="S27" s="6" t="s">
        <v>140</v>
      </c>
      <c r="T27" s="6" t="s">
        <v>269</v>
      </c>
      <c r="U27" s="6" t="s">
        <v>270</v>
      </c>
    </row>
    <row r="28" customFormat="false" ht="15" hidden="false" customHeight="false" outlineLevel="0" collapsed="false">
      <c r="A28" s="6" t="str">
        <f aca="false">B28&amp;"|"&amp;D28</f>
        <v>Stress Management|7</v>
      </c>
      <c r="B28" s="6" t="s">
        <v>46</v>
      </c>
      <c r="C28" s="6" t="s">
        <v>47</v>
      </c>
      <c r="D28" s="6" t="n">
        <v>7</v>
      </c>
      <c r="E28" s="6" t="s">
        <v>271</v>
      </c>
      <c r="F28" s="6" t="s">
        <v>272</v>
      </c>
      <c r="G28" s="6" t="s">
        <v>239</v>
      </c>
      <c r="H28" s="6" t="s">
        <v>117</v>
      </c>
      <c r="I28" s="6" t="s">
        <v>273</v>
      </c>
      <c r="J28" s="7" t="n">
        <v>12.99</v>
      </c>
      <c r="K28" s="6" t="n">
        <v>4.6</v>
      </c>
      <c r="L28" s="8" t="n">
        <v>9527</v>
      </c>
      <c r="M28" s="8" t="n">
        <v>5579</v>
      </c>
      <c r="N28" s="6" t="s">
        <v>127</v>
      </c>
      <c r="O28" s="6" t="n">
        <v>160</v>
      </c>
      <c r="P28" s="6" t="n">
        <v>19.1</v>
      </c>
      <c r="Q28" s="9" t="n">
        <v>44677</v>
      </c>
      <c r="R28" s="10" t="n">
        <f aca="false">IF(Q28="","",($W$2-Q28)/30.44)</f>
        <v>53.3837056504599</v>
      </c>
      <c r="S28" s="6" t="s">
        <v>140</v>
      </c>
      <c r="T28" s="6" t="s">
        <v>274</v>
      </c>
      <c r="U28" s="6" t="s">
        <v>275</v>
      </c>
    </row>
    <row r="29" customFormat="false" ht="15" hidden="false" customHeight="false" outlineLevel="0" collapsed="false">
      <c r="A29" s="6" t="str">
        <f aca="false">B29&amp;"|"&amp;D29</f>
        <v>Stress Management|8</v>
      </c>
      <c r="B29" s="6" t="s">
        <v>46</v>
      </c>
      <c r="C29" s="6" t="s">
        <v>47</v>
      </c>
      <c r="D29" s="6" t="n">
        <v>8</v>
      </c>
      <c r="E29" s="6" t="s">
        <v>276</v>
      </c>
      <c r="F29" s="6" t="s">
        <v>277</v>
      </c>
      <c r="G29" s="6" t="s">
        <v>278</v>
      </c>
      <c r="H29" s="6" t="s">
        <v>117</v>
      </c>
      <c r="I29" s="6" t="s">
        <v>279</v>
      </c>
      <c r="J29" s="7" t="n">
        <v>2.99</v>
      </c>
      <c r="K29" s="6" t="n">
        <v>4.8</v>
      </c>
      <c r="L29" s="8" t="n">
        <v>1712</v>
      </c>
      <c r="M29" s="8" t="n">
        <v>6864</v>
      </c>
      <c r="N29" s="6" t="s">
        <v>119</v>
      </c>
      <c r="O29" s="6" t="n">
        <v>118</v>
      </c>
      <c r="P29" s="6" t="n">
        <v>31.5</v>
      </c>
      <c r="Q29" s="9" t="n">
        <v>43291</v>
      </c>
      <c r="R29" s="10" t="n">
        <f aca="false">IF(Q29="","",($W$2-Q29)/30.44)</f>
        <v>98.9159001314061</v>
      </c>
      <c r="S29" s="6" t="s">
        <v>146</v>
      </c>
      <c r="T29" s="6" t="s">
        <v>280</v>
      </c>
      <c r="U29" s="6" t="s">
        <v>281</v>
      </c>
    </row>
    <row r="30" customFormat="false" ht="15" hidden="false" customHeight="false" outlineLevel="0" collapsed="false">
      <c r="A30" s="6" t="str">
        <f aca="false">B30&amp;"|"&amp;D30</f>
        <v>Stress Management|9</v>
      </c>
      <c r="B30" s="6" t="s">
        <v>46</v>
      </c>
      <c r="C30" s="6" t="s">
        <v>47</v>
      </c>
      <c r="D30" s="6" t="n">
        <v>9</v>
      </c>
      <c r="E30" s="6" t="s">
        <v>282</v>
      </c>
      <c r="F30" s="6" t="s">
        <v>283</v>
      </c>
      <c r="G30" s="6" t="s">
        <v>217</v>
      </c>
      <c r="H30" s="6" t="s">
        <v>117</v>
      </c>
      <c r="I30" s="6" t="s">
        <v>284</v>
      </c>
      <c r="J30" s="7" t="n">
        <v>13.99</v>
      </c>
      <c r="K30" s="6" t="n">
        <v>4.6</v>
      </c>
      <c r="L30" s="8" t="n">
        <v>28900</v>
      </c>
      <c r="M30" s="8" t="n">
        <v>7307</v>
      </c>
      <c r="N30" s="6" t="s">
        <v>127</v>
      </c>
      <c r="O30" s="6" t="n">
        <v>218</v>
      </c>
      <c r="P30" s="6" t="n">
        <v>2.1</v>
      </c>
      <c r="Q30" s="9" t="n">
        <v>42948</v>
      </c>
      <c r="R30" s="10" t="n">
        <f aca="false">IF(Q30="","",($W$2-Q30)/30.44)</f>
        <v>110.183968462549</v>
      </c>
      <c r="S30" s="6" t="s">
        <v>140</v>
      </c>
      <c r="T30" s="6" t="s">
        <v>285</v>
      </c>
      <c r="U30" s="6" t="s">
        <v>286</v>
      </c>
    </row>
    <row r="31" customFormat="false" ht="15" hidden="false" customHeight="false" outlineLevel="0" collapsed="false">
      <c r="A31" s="6" t="str">
        <f aca="false">B31&amp;"|"&amp;D31</f>
        <v>Stress Management|10</v>
      </c>
      <c r="B31" s="6" t="s">
        <v>46</v>
      </c>
      <c r="C31" s="6" t="s">
        <v>47</v>
      </c>
      <c r="D31" s="6" t="n">
        <v>10</v>
      </c>
      <c r="E31" s="6" t="s">
        <v>287</v>
      </c>
      <c r="F31" s="6" t="s">
        <v>288</v>
      </c>
      <c r="G31" s="6" t="s">
        <v>289</v>
      </c>
      <c r="H31" s="6" t="s">
        <v>205</v>
      </c>
      <c r="I31" s="6" t="s">
        <v>290</v>
      </c>
      <c r="J31" s="7" t="n">
        <v>0.99</v>
      </c>
      <c r="K31" s="6" t="n">
        <v>5</v>
      </c>
      <c r="L31" s="8" t="n">
        <v>10</v>
      </c>
      <c r="M31" s="8" t="n">
        <v>8092</v>
      </c>
      <c r="N31" s="6" t="s">
        <v>127</v>
      </c>
      <c r="O31" s="6" t="n">
        <v>204</v>
      </c>
      <c r="P31" s="6" t="n">
        <v>1</v>
      </c>
      <c r="Q31" s="9" t="n">
        <v>46285</v>
      </c>
      <c r="R31" s="10" t="n">
        <f aca="false">IF(Q31="","",($W$2-Q31)/30.44)</f>
        <v>0.558475689881735</v>
      </c>
      <c r="S31" s="6" t="s">
        <v>135</v>
      </c>
      <c r="T31" s="6" t="s">
        <v>291</v>
      </c>
      <c r="U31" s="6" t="s">
        <v>292</v>
      </c>
    </row>
    <row r="32" customFormat="false" ht="15" hidden="false" customHeight="false" outlineLevel="0" collapsed="false">
      <c r="A32" s="6" t="str">
        <f aca="false">B32&amp;"|"&amp;D32</f>
        <v>Stress Management|11</v>
      </c>
      <c r="B32" s="6" t="s">
        <v>46</v>
      </c>
      <c r="C32" s="6" t="s">
        <v>47</v>
      </c>
      <c r="D32" s="6" t="n">
        <v>11</v>
      </c>
      <c r="E32" s="6" t="s">
        <v>293</v>
      </c>
      <c r="F32" s="6" t="s">
        <v>294</v>
      </c>
      <c r="G32" s="6" t="s">
        <v>295</v>
      </c>
      <c r="H32" s="6" t="s">
        <v>117</v>
      </c>
      <c r="I32" s="6" t="s">
        <v>296</v>
      </c>
      <c r="J32" s="7" t="n">
        <v>13.99</v>
      </c>
      <c r="K32" s="6" t="n">
        <v>4.6</v>
      </c>
      <c r="L32" s="8" t="n">
        <v>13761</v>
      </c>
      <c r="M32" s="8" t="n">
        <v>8164</v>
      </c>
      <c r="N32" s="6" t="s">
        <v>119</v>
      </c>
      <c r="O32" s="6" t="n">
        <v>395</v>
      </c>
      <c r="P32" s="6" t="n">
        <v>19.3</v>
      </c>
      <c r="Q32" s="9" t="n">
        <v>45377</v>
      </c>
      <c r="R32" s="10" t="n">
        <f aca="false">IF(Q32="","",($W$2-Q32)/30.44)</f>
        <v>30.3876478318003</v>
      </c>
      <c r="S32" s="6" t="s">
        <v>140</v>
      </c>
      <c r="T32" s="6" t="s">
        <v>297</v>
      </c>
      <c r="U32" s="6" t="s">
        <v>298</v>
      </c>
    </row>
    <row r="33" customFormat="false" ht="15" hidden="false" customHeight="false" outlineLevel="0" collapsed="false">
      <c r="A33" s="6" t="str">
        <f aca="false">B33&amp;"|"&amp;D33</f>
        <v>Stress Management|12</v>
      </c>
      <c r="B33" s="6" t="s">
        <v>46</v>
      </c>
      <c r="C33" s="6" t="s">
        <v>47</v>
      </c>
      <c r="D33" s="6" t="n">
        <v>12</v>
      </c>
      <c r="E33" s="6" t="s">
        <v>299</v>
      </c>
      <c r="F33" s="6" t="s">
        <v>300</v>
      </c>
      <c r="G33" s="6" t="s">
        <v>301</v>
      </c>
      <c r="H33" s="6" t="s">
        <v>117</v>
      </c>
      <c r="I33" s="6" t="s">
        <v>302</v>
      </c>
      <c r="J33" s="7" t="n">
        <v>13.49</v>
      </c>
      <c r="K33" s="6" t="n">
        <v>4.5</v>
      </c>
      <c r="L33" s="8" t="n">
        <v>14757</v>
      </c>
      <c r="M33" s="8" t="n">
        <v>9373</v>
      </c>
      <c r="N33" s="6" t="s">
        <v>127</v>
      </c>
      <c r="O33" s="6" t="n">
        <v>283</v>
      </c>
      <c r="P33" s="6" t="n">
        <v>2.1</v>
      </c>
      <c r="Q33" s="9" t="n">
        <v>43599</v>
      </c>
      <c r="R33" s="10" t="n">
        <f aca="false">IF(Q33="","",($W$2-Q33)/30.44)</f>
        <v>88.7976346911958</v>
      </c>
      <c r="S33" s="6" t="s">
        <v>140</v>
      </c>
      <c r="T33" s="6" t="s">
        <v>303</v>
      </c>
      <c r="U33" s="6" t="s">
        <v>304</v>
      </c>
    </row>
    <row r="34" customFormat="false" ht="15" hidden="false" customHeight="false" outlineLevel="0" collapsed="false">
      <c r="A34" s="6" t="str">
        <f aca="false">B34&amp;"|"&amp;D34</f>
        <v>Stress Management|13</v>
      </c>
      <c r="B34" s="6" t="s">
        <v>46</v>
      </c>
      <c r="C34" s="6" t="s">
        <v>47</v>
      </c>
      <c r="D34" s="6" t="n">
        <v>13</v>
      </c>
      <c r="E34" s="6" t="s">
        <v>305</v>
      </c>
      <c r="F34" s="6" t="s">
        <v>306</v>
      </c>
      <c r="G34" s="6" t="s">
        <v>151</v>
      </c>
      <c r="H34" s="6" t="s">
        <v>152</v>
      </c>
      <c r="I34" s="6" t="s">
        <v>307</v>
      </c>
      <c r="J34" s="7" t="n">
        <v>0.99</v>
      </c>
      <c r="K34" s="6" t="n">
        <v>5</v>
      </c>
      <c r="L34" s="8" t="n">
        <v>11</v>
      </c>
      <c r="M34" s="8" t="n">
        <v>10961</v>
      </c>
      <c r="N34" s="6" t="s">
        <v>119</v>
      </c>
      <c r="O34" s="6" t="n">
        <v>213</v>
      </c>
      <c r="P34" s="6" t="n">
        <v>5.7</v>
      </c>
      <c r="Q34" s="9" t="n">
        <v>46280</v>
      </c>
      <c r="R34" s="10" t="n">
        <f aca="false">IF(Q34="","",($W$2-Q34)/30.44)</f>
        <v>0.722733245729304</v>
      </c>
      <c r="S34" s="6" t="s">
        <v>140</v>
      </c>
      <c r="T34" s="6" t="s">
        <v>308</v>
      </c>
      <c r="U34" s="6" t="s">
        <v>309</v>
      </c>
    </row>
    <row r="35" customFormat="false" ht="15" hidden="false" customHeight="false" outlineLevel="0" collapsed="false">
      <c r="A35" s="6" t="str">
        <f aca="false">B35&amp;"|"&amp;D35</f>
        <v>Stress Management|14</v>
      </c>
      <c r="B35" s="6" t="s">
        <v>46</v>
      </c>
      <c r="C35" s="6" t="s">
        <v>47</v>
      </c>
      <c r="D35" s="6" t="n">
        <v>14</v>
      </c>
      <c r="E35" s="6" t="s">
        <v>310</v>
      </c>
      <c r="F35" s="6" t="s">
        <v>262</v>
      </c>
      <c r="G35" s="6" t="s">
        <v>177</v>
      </c>
      <c r="H35" s="6" t="s">
        <v>117</v>
      </c>
      <c r="I35" s="6" t="s">
        <v>311</v>
      </c>
      <c r="J35" s="7" t="n">
        <v>14.99</v>
      </c>
      <c r="K35" s="6" t="n">
        <v>4.8</v>
      </c>
      <c r="L35" s="8" t="n">
        <v>438</v>
      </c>
      <c r="M35" s="8" t="n">
        <v>11561</v>
      </c>
      <c r="N35" s="6" t="s">
        <v>119</v>
      </c>
      <c r="O35" s="6" t="n">
        <v>271</v>
      </c>
      <c r="P35" s="6" t="n">
        <v>2.4</v>
      </c>
      <c r="Q35" s="9" t="n">
        <v>46070</v>
      </c>
      <c r="R35" s="10" t="n">
        <f aca="false">IF(Q35="","",($W$2-Q35)/30.44)</f>
        <v>7.6215505913272</v>
      </c>
      <c r="S35" s="6" t="s">
        <v>185</v>
      </c>
      <c r="T35" s="6" t="s">
        <v>312</v>
      </c>
      <c r="U35" s="6" t="s">
        <v>313</v>
      </c>
    </row>
    <row r="36" customFormat="false" ht="15" hidden="false" customHeight="false" outlineLevel="0" collapsed="false">
      <c r="A36" s="6" t="str">
        <f aca="false">B36&amp;"|"&amp;D36</f>
        <v>Stress Management|15</v>
      </c>
      <c r="B36" s="6" t="s">
        <v>46</v>
      </c>
      <c r="C36" s="6" t="s">
        <v>47</v>
      </c>
      <c r="D36" s="6" t="n">
        <v>15</v>
      </c>
      <c r="E36" s="6" t="s">
        <v>314</v>
      </c>
      <c r="F36" s="6" t="s">
        <v>315</v>
      </c>
      <c r="G36" s="6" t="s">
        <v>125</v>
      </c>
      <c r="H36" s="6" t="s">
        <v>117</v>
      </c>
      <c r="I36" s="6" t="s">
        <v>316</v>
      </c>
      <c r="J36" s="7" t="n">
        <v>15.99</v>
      </c>
      <c r="K36" s="6" t="n">
        <v>4.8</v>
      </c>
      <c r="L36" s="8" t="n">
        <v>6557</v>
      </c>
      <c r="M36" s="8" t="n">
        <v>13697</v>
      </c>
      <c r="N36" s="6" t="s">
        <v>127</v>
      </c>
      <c r="O36" s="6" t="n">
        <v>222</v>
      </c>
      <c r="P36" s="6" t="n">
        <v>0.84</v>
      </c>
      <c r="Q36" s="9" t="n">
        <v>44936</v>
      </c>
      <c r="R36" s="10" t="n">
        <f aca="false">IF(Q36="","",($W$2-Q36)/30.44)</f>
        <v>44.8751642575558</v>
      </c>
      <c r="S36" s="6" t="s">
        <v>165</v>
      </c>
      <c r="T36" s="6" t="s">
        <v>317</v>
      </c>
      <c r="U36" s="6" t="s">
        <v>318</v>
      </c>
    </row>
    <row r="37" customFormat="false" ht="15" hidden="false" customHeight="false" outlineLevel="0" collapsed="false">
      <c r="A37" s="6" t="str">
        <f aca="false">B37&amp;"|"&amp;D37</f>
        <v>Stress Management|16</v>
      </c>
      <c r="B37" s="6" t="s">
        <v>46</v>
      </c>
      <c r="C37" s="6" t="s">
        <v>47</v>
      </c>
      <c r="D37" s="6" t="n">
        <v>16</v>
      </c>
      <c r="E37" s="6" t="s">
        <v>319</v>
      </c>
      <c r="F37" s="6" t="s">
        <v>320</v>
      </c>
      <c r="G37" s="6" t="s">
        <v>151</v>
      </c>
      <c r="H37" s="6" t="s">
        <v>152</v>
      </c>
      <c r="I37" s="6" t="s">
        <v>321</v>
      </c>
      <c r="J37" s="7" t="n">
        <v>3.99</v>
      </c>
      <c r="K37" s="6" t="n">
        <v>4.6</v>
      </c>
      <c r="L37" s="8" t="n">
        <v>15302</v>
      </c>
      <c r="M37" s="8" t="n">
        <v>25667</v>
      </c>
      <c r="N37" s="6" t="s">
        <v>127</v>
      </c>
      <c r="O37" s="6" t="n">
        <v>253</v>
      </c>
      <c r="P37" s="6" t="n">
        <v>0.86</v>
      </c>
      <c r="Q37" s="9" t="n">
        <v>46233</v>
      </c>
      <c r="R37" s="10" t="n">
        <f aca="false">IF(Q37="","",($W$2-Q37)/30.44)</f>
        <v>2.26675427069645</v>
      </c>
      <c r="S37" s="6" t="s">
        <v>128</v>
      </c>
      <c r="T37" s="6" t="s">
        <v>322</v>
      </c>
      <c r="U37" s="6" t="s">
        <v>323</v>
      </c>
    </row>
    <row r="38" customFormat="false" ht="15" hidden="false" customHeight="false" outlineLevel="0" collapsed="false">
      <c r="A38" s="6" t="str">
        <f aca="false">B38&amp;"|"&amp;D38</f>
        <v>Stress Management|17</v>
      </c>
      <c r="B38" s="6" t="s">
        <v>46</v>
      </c>
      <c r="C38" s="6" t="s">
        <v>47</v>
      </c>
      <c r="D38" s="6" t="n">
        <v>17</v>
      </c>
      <c r="E38" s="6" t="s">
        <v>324</v>
      </c>
      <c r="F38" s="6" t="s">
        <v>325</v>
      </c>
      <c r="G38" s="6" t="s">
        <v>125</v>
      </c>
      <c r="H38" s="6" t="s">
        <v>117</v>
      </c>
      <c r="I38" s="6" t="s">
        <v>326</v>
      </c>
      <c r="J38" s="7" t="n">
        <v>3.99</v>
      </c>
      <c r="K38" s="6" t="n">
        <v>4.9</v>
      </c>
      <c r="L38" s="8" t="n">
        <v>968</v>
      </c>
      <c r="M38" s="8" t="n">
        <v>15479</v>
      </c>
      <c r="N38" s="6" t="s">
        <v>119</v>
      </c>
      <c r="O38" s="6" t="n">
        <v>219</v>
      </c>
      <c r="P38" s="6" t="n">
        <v>17.6</v>
      </c>
      <c r="Q38" s="9" t="n">
        <v>45944</v>
      </c>
      <c r="R38" s="10" t="n">
        <f aca="false">IF(Q38="","",($W$2-Q38)/30.44)</f>
        <v>11.7608409986859</v>
      </c>
      <c r="S38" s="6" t="s">
        <v>185</v>
      </c>
      <c r="T38" s="6" t="s">
        <v>327</v>
      </c>
      <c r="U38" s="6" t="s">
        <v>328</v>
      </c>
    </row>
    <row r="39" customFormat="false" ht="15" hidden="false" customHeight="false" outlineLevel="0" collapsed="false">
      <c r="A39" s="6" t="str">
        <f aca="false">B39&amp;"|"&amp;D39</f>
        <v>Stress Management|18</v>
      </c>
      <c r="B39" s="6" t="s">
        <v>46</v>
      </c>
      <c r="C39" s="6" t="s">
        <v>47</v>
      </c>
      <c r="D39" s="6" t="n">
        <v>18</v>
      </c>
      <c r="E39" s="6" t="s">
        <v>329</v>
      </c>
      <c r="F39" s="6" t="s">
        <v>330</v>
      </c>
      <c r="G39" s="6" t="s">
        <v>331</v>
      </c>
      <c r="H39" s="6" t="s">
        <v>117</v>
      </c>
      <c r="I39" s="6" t="s">
        <v>332</v>
      </c>
      <c r="J39" s="7" t="n">
        <v>3.99</v>
      </c>
      <c r="K39" s="6" t="n">
        <v>4.7</v>
      </c>
      <c r="L39" s="8" t="n">
        <v>259</v>
      </c>
      <c r="M39" s="8" t="n">
        <v>16848</v>
      </c>
      <c r="N39" s="6" t="s">
        <v>119</v>
      </c>
      <c r="O39" s="6" t="n">
        <v>210</v>
      </c>
      <c r="P39" s="6" t="n">
        <v>14.9</v>
      </c>
      <c r="Q39" s="9" t="n">
        <v>45923</v>
      </c>
      <c r="R39" s="10" t="n">
        <f aca="false">IF(Q39="","",($W$2-Q39)/30.44)</f>
        <v>12.4507227332457</v>
      </c>
      <c r="S39" s="6" t="s">
        <v>253</v>
      </c>
      <c r="T39" s="6" t="s">
        <v>333</v>
      </c>
      <c r="U39" s="6" t="s">
        <v>334</v>
      </c>
    </row>
    <row r="40" customFormat="false" ht="15" hidden="false" customHeight="false" outlineLevel="0" collapsed="false">
      <c r="A40" s="6" t="str">
        <f aca="false">B40&amp;"|"&amp;D40</f>
        <v>Stress Management|19</v>
      </c>
      <c r="B40" s="6" t="s">
        <v>46</v>
      </c>
      <c r="C40" s="6" t="s">
        <v>47</v>
      </c>
      <c r="D40" s="6" t="n">
        <v>19</v>
      </c>
      <c r="E40" s="6" t="s">
        <v>335</v>
      </c>
      <c r="F40" s="6" t="s">
        <v>336</v>
      </c>
      <c r="G40" s="6" t="s">
        <v>125</v>
      </c>
      <c r="H40" s="6" t="s">
        <v>117</v>
      </c>
      <c r="I40" s="6" t="s">
        <v>337</v>
      </c>
      <c r="J40" s="7" t="n">
        <v>3.99</v>
      </c>
      <c r="K40" s="6" t="n">
        <v>4.7</v>
      </c>
      <c r="L40" s="8" t="n">
        <v>1842</v>
      </c>
      <c r="M40" s="8" t="n">
        <v>18127</v>
      </c>
      <c r="N40" s="6" t="s">
        <v>127</v>
      </c>
      <c r="O40" s="6" t="n">
        <v>223</v>
      </c>
      <c r="P40" s="6" t="n">
        <v>13.3</v>
      </c>
      <c r="Q40" s="9" t="n">
        <v>44572</v>
      </c>
      <c r="R40" s="10" t="n">
        <f aca="false">IF(Q40="","",($W$2-Q40)/30.44)</f>
        <v>56.8331143232589</v>
      </c>
      <c r="S40" s="6" t="s">
        <v>146</v>
      </c>
      <c r="T40" s="6" t="s">
        <v>338</v>
      </c>
      <c r="U40" s="6" t="s">
        <v>339</v>
      </c>
    </row>
    <row r="41" customFormat="false" ht="15" hidden="false" customHeight="false" outlineLevel="0" collapsed="false">
      <c r="A41" s="6" t="str">
        <f aca="false">B41&amp;"|"&amp;D41</f>
        <v>Stress Management|20</v>
      </c>
      <c r="B41" s="6" t="s">
        <v>46</v>
      </c>
      <c r="C41" s="6" t="s">
        <v>47</v>
      </c>
      <c r="D41" s="6" t="n">
        <v>20</v>
      </c>
      <c r="E41" s="6" t="s">
        <v>340</v>
      </c>
      <c r="F41" s="6" t="s">
        <v>341</v>
      </c>
      <c r="G41" s="6" t="s">
        <v>217</v>
      </c>
      <c r="H41" s="6" t="s">
        <v>117</v>
      </c>
      <c r="I41" s="6" t="s">
        <v>342</v>
      </c>
      <c r="J41" s="7" t="n">
        <v>14.99</v>
      </c>
      <c r="K41" s="6" t="n">
        <v>4.6</v>
      </c>
      <c r="L41" s="8" t="n">
        <v>9321</v>
      </c>
      <c r="M41" s="8" t="n">
        <v>22588</v>
      </c>
      <c r="N41" s="6" t="s">
        <v>127</v>
      </c>
      <c r="O41" s="6" t="n">
        <v>226</v>
      </c>
      <c r="P41" s="6" t="n">
        <v>1</v>
      </c>
      <c r="Q41" s="9" t="n">
        <v>39913</v>
      </c>
      <c r="R41" s="10" t="n">
        <f aca="false">IF(Q41="","",($W$2-Q41)/30.44)</f>
        <v>209.888304862024</v>
      </c>
      <c r="S41" s="6" t="s">
        <v>140</v>
      </c>
      <c r="T41" s="6" t="s">
        <v>343</v>
      </c>
      <c r="U41" s="6" t="s">
        <v>344</v>
      </c>
    </row>
    <row r="42" customFormat="false" ht="15" hidden="false" customHeight="false" outlineLevel="0" collapsed="false">
      <c r="A42" s="6" t="str">
        <f aca="false">B42&amp;"|"&amp;D42</f>
        <v>Self-Esteem|1</v>
      </c>
      <c r="B42" s="6" t="s">
        <v>49</v>
      </c>
      <c r="C42" s="6" t="s">
        <v>50</v>
      </c>
      <c r="D42" s="6" t="n">
        <v>1</v>
      </c>
      <c r="E42" s="6" t="s">
        <v>345</v>
      </c>
      <c r="F42" s="6" t="s">
        <v>346</v>
      </c>
      <c r="G42" s="6" t="s">
        <v>347</v>
      </c>
      <c r="H42" s="6" t="s">
        <v>117</v>
      </c>
      <c r="I42" s="6" t="s">
        <v>348</v>
      </c>
      <c r="J42" s="7" t="n">
        <v>2.99</v>
      </c>
      <c r="K42" s="6" t="n">
        <v>4.5</v>
      </c>
      <c r="L42" s="8" t="n">
        <v>27846</v>
      </c>
      <c r="M42" s="8" t="n">
        <v>225</v>
      </c>
      <c r="N42" s="6" t="s">
        <v>127</v>
      </c>
      <c r="O42" s="6" t="n">
        <v>288</v>
      </c>
      <c r="P42" s="6" t="n">
        <v>2.6</v>
      </c>
      <c r="Q42" s="9" t="n">
        <v>43228</v>
      </c>
      <c r="R42" s="10" t="n">
        <f aca="false">IF(Q42="","",($W$2-Q42)/30.44)</f>
        <v>100.985545335085</v>
      </c>
      <c r="S42" s="6" t="s">
        <v>140</v>
      </c>
      <c r="T42" s="6" t="s">
        <v>349</v>
      </c>
      <c r="U42" s="6" t="s">
        <v>350</v>
      </c>
    </row>
    <row r="43" customFormat="false" ht="15" hidden="false" customHeight="false" outlineLevel="0" collapsed="false">
      <c r="A43" s="6" t="str">
        <f aca="false">B43&amp;"|"&amp;D43</f>
        <v>Self-Esteem|2</v>
      </c>
      <c r="B43" s="6" t="s">
        <v>49</v>
      </c>
      <c r="C43" s="6" t="s">
        <v>50</v>
      </c>
      <c r="D43" s="6" t="n">
        <v>2</v>
      </c>
      <c r="E43" s="6" t="s">
        <v>351</v>
      </c>
      <c r="F43" s="6" t="s">
        <v>352</v>
      </c>
      <c r="G43" s="6" t="s">
        <v>353</v>
      </c>
      <c r="H43" s="6" t="s">
        <v>117</v>
      </c>
      <c r="I43" s="6" t="s">
        <v>354</v>
      </c>
      <c r="J43" s="7" t="n">
        <v>1.99</v>
      </c>
      <c r="K43" s="6" t="n">
        <v>4.7</v>
      </c>
      <c r="L43" s="8" t="n">
        <v>31308</v>
      </c>
      <c r="M43" s="8" t="n">
        <v>1177</v>
      </c>
      <c r="N43" s="6" t="s">
        <v>119</v>
      </c>
      <c r="O43" s="6" t="n">
        <v>290</v>
      </c>
      <c r="P43" s="6" t="n">
        <v>3.2</v>
      </c>
      <c r="Q43" s="9" t="n">
        <v>41163</v>
      </c>
      <c r="R43" s="10" t="n">
        <f aca="false">IF(Q43="","",($W$2-Q43)/30.44)</f>
        <v>168.823915900131</v>
      </c>
      <c r="S43" s="6" t="s">
        <v>140</v>
      </c>
      <c r="T43" s="6" t="s">
        <v>355</v>
      </c>
      <c r="U43" s="6" t="s">
        <v>356</v>
      </c>
    </row>
    <row r="44" customFormat="false" ht="15" hidden="false" customHeight="false" outlineLevel="0" collapsed="false">
      <c r="A44" s="6" t="str">
        <f aca="false">B44&amp;"|"&amp;D44</f>
        <v>Self-Esteem|3</v>
      </c>
      <c r="B44" s="6" t="s">
        <v>49</v>
      </c>
      <c r="C44" s="6" t="s">
        <v>50</v>
      </c>
      <c r="D44" s="6" t="n">
        <v>3</v>
      </c>
      <c r="E44" s="6" t="s">
        <v>243</v>
      </c>
      <c r="F44" s="6" t="s">
        <v>244</v>
      </c>
      <c r="G44" s="6" t="s">
        <v>245</v>
      </c>
      <c r="H44" s="6" t="s">
        <v>205</v>
      </c>
      <c r="I44" s="6" t="s">
        <v>246</v>
      </c>
      <c r="J44" s="7" t="n">
        <v>9.99</v>
      </c>
      <c r="K44" s="6" t="n">
        <v>4.7</v>
      </c>
      <c r="L44" s="8" t="n">
        <v>4076</v>
      </c>
      <c r="M44" s="8" t="n">
        <v>1695</v>
      </c>
      <c r="N44" s="6" t="s">
        <v>119</v>
      </c>
      <c r="O44" s="6" t="n">
        <v>171</v>
      </c>
      <c r="P44" s="6" t="n">
        <v>1.8</v>
      </c>
      <c r="Q44" s="9" t="n">
        <v>45839</v>
      </c>
      <c r="R44" s="10" t="n">
        <f aca="false">IF(Q44="","",($W$2-Q44)/30.44)</f>
        <v>15.2102496714849</v>
      </c>
      <c r="S44" s="6" t="s">
        <v>140</v>
      </c>
      <c r="T44" s="6" t="s">
        <v>247</v>
      </c>
      <c r="U44" s="6" t="s">
        <v>248</v>
      </c>
    </row>
    <row r="45" customFormat="false" ht="15" hidden="false" customHeight="false" outlineLevel="0" collapsed="false">
      <c r="A45" s="6" t="str">
        <f aca="false">B45&amp;"|"&amp;D45</f>
        <v>Self-Esteem|4</v>
      </c>
      <c r="B45" s="6" t="s">
        <v>49</v>
      </c>
      <c r="C45" s="6" t="s">
        <v>50</v>
      </c>
      <c r="D45" s="6" t="n">
        <v>4</v>
      </c>
      <c r="E45" s="6" t="s">
        <v>357</v>
      </c>
      <c r="F45" s="6" t="s">
        <v>358</v>
      </c>
      <c r="G45" s="6" t="s">
        <v>359</v>
      </c>
      <c r="H45" s="6" t="s">
        <v>117</v>
      </c>
      <c r="I45" s="6" t="s">
        <v>360</v>
      </c>
      <c r="J45" s="7" t="n">
        <v>2.99</v>
      </c>
      <c r="K45" s="6" t="n">
        <v>4.8</v>
      </c>
      <c r="L45" s="8" t="n">
        <v>221</v>
      </c>
      <c r="M45" s="8" t="n">
        <v>1876</v>
      </c>
      <c r="N45" s="6" t="s">
        <v>119</v>
      </c>
      <c r="O45" s="6" t="n">
        <v>361</v>
      </c>
      <c r="P45" s="6" t="n">
        <v>3.5</v>
      </c>
      <c r="Q45" s="9" t="n">
        <v>46105</v>
      </c>
      <c r="R45" s="10" t="n">
        <f aca="false">IF(Q45="","",($W$2-Q45)/30.44)</f>
        <v>6.47174770039422</v>
      </c>
      <c r="S45" s="6" t="s">
        <v>140</v>
      </c>
      <c r="T45" s="6" t="s">
        <v>361</v>
      </c>
      <c r="U45" s="6" t="s">
        <v>362</v>
      </c>
    </row>
    <row r="46" customFormat="false" ht="15" hidden="false" customHeight="false" outlineLevel="0" collapsed="false">
      <c r="A46" s="6" t="str">
        <f aca="false">B46&amp;"|"&amp;D46</f>
        <v>Self-Esteem|5</v>
      </c>
      <c r="B46" s="6" t="s">
        <v>49</v>
      </c>
      <c r="C46" s="6" t="s">
        <v>50</v>
      </c>
      <c r="D46" s="6" t="n">
        <v>5</v>
      </c>
      <c r="E46" s="6" t="s">
        <v>363</v>
      </c>
      <c r="F46" s="6" t="s">
        <v>364</v>
      </c>
      <c r="G46" s="6" t="s">
        <v>239</v>
      </c>
      <c r="H46" s="6" t="s">
        <v>117</v>
      </c>
      <c r="I46" s="6" t="s">
        <v>365</v>
      </c>
      <c r="J46" s="7" t="n">
        <v>14.99</v>
      </c>
      <c r="K46" s="6" t="n">
        <v>5</v>
      </c>
      <c r="L46" s="8" t="n">
        <v>1</v>
      </c>
      <c r="M46" s="8" t="n">
        <v>2416</v>
      </c>
      <c r="N46" s="6" t="s">
        <v>119</v>
      </c>
      <c r="O46" s="6" t="n">
        <v>272</v>
      </c>
      <c r="P46" s="6" t="n">
        <v>8</v>
      </c>
      <c r="Q46" s="9" t="n">
        <v>46301</v>
      </c>
      <c r="R46" s="10" t="n">
        <f aca="false">IF(Q46="","",($W$2-Q46)/30.44)</f>
        <v>0.0328515111695138</v>
      </c>
      <c r="S46" s="6" t="s">
        <v>146</v>
      </c>
      <c r="T46" s="6" t="s">
        <v>366</v>
      </c>
      <c r="U46" s="6" t="s">
        <v>367</v>
      </c>
    </row>
    <row r="47" customFormat="false" ht="15" hidden="false" customHeight="false" outlineLevel="0" collapsed="false">
      <c r="A47" s="6" t="str">
        <f aca="false">B47&amp;"|"&amp;D47</f>
        <v>Self-Esteem|6</v>
      </c>
      <c r="B47" s="6" t="s">
        <v>49</v>
      </c>
      <c r="C47" s="6" t="s">
        <v>50</v>
      </c>
      <c r="D47" s="6" t="n">
        <v>6</v>
      </c>
      <c r="E47" s="6" t="s">
        <v>368</v>
      </c>
      <c r="F47" s="6" t="s">
        <v>369</v>
      </c>
      <c r="G47" s="6" t="s">
        <v>370</v>
      </c>
      <c r="H47" s="6" t="s">
        <v>205</v>
      </c>
      <c r="I47" s="6" t="s">
        <v>371</v>
      </c>
      <c r="J47" s="7" t="n">
        <v>1.99</v>
      </c>
      <c r="K47" s="6" t="n">
        <v>4.4</v>
      </c>
      <c r="L47" s="8" t="n">
        <v>1719</v>
      </c>
      <c r="M47" s="8" t="n">
        <v>2651</v>
      </c>
      <c r="N47" s="6" t="s">
        <v>119</v>
      </c>
      <c r="O47" s="6" t="n">
        <v>166</v>
      </c>
      <c r="P47" s="6" t="n">
        <v>0.85</v>
      </c>
      <c r="Q47" s="9" t="n">
        <v>45075</v>
      </c>
      <c r="R47" s="10" t="n">
        <f aca="false">IF(Q47="","",($W$2-Q47)/30.44)</f>
        <v>40.3088042049934</v>
      </c>
      <c r="S47" s="6" t="s">
        <v>140</v>
      </c>
      <c r="T47" s="6" t="s">
        <v>372</v>
      </c>
      <c r="U47" s="6" t="s">
        <v>373</v>
      </c>
    </row>
    <row r="48" customFormat="false" ht="15" hidden="false" customHeight="false" outlineLevel="0" collapsed="false">
      <c r="A48" s="6" t="str">
        <f aca="false">B48&amp;"|"&amp;D48</f>
        <v>Self-Esteem|7</v>
      </c>
      <c r="B48" s="6" t="s">
        <v>49</v>
      </c>
      <c r="C48" s="6" t="s">
        <v>50</v>
      </c>
      <c r="D48" s="6" t="n">
        <v>7</v>
      </c>
      <c r="E48" s="6" t="s">
        <v>374</v>
      </c>
      <c r="F48" s="6" t="s">
        <v>375</v>
      </c>
      <c r="G48" s="6" t="s">
        <v>376</v>
      </c>
      <c r="H48" s="6" t="s">
        <v>205</v>
      </c>
      <c r="I48" s="6" t="s">
        <v>377</v>
      </c>
      <c r="J48" s="7" t="n">
        <v>8.99</v>
      </c>
      <c r="K48" s="6" t="n">
        <v>4.3</v>
      </c>
      <c r="L48" s="8" t="n">
        <v>393</v>
      </c>
      <c r="M48" s="8" t="n">
        <v>2898</v>
      </c>
      <c r="N48" s="6" t="s">
        <v>127</v>
      </c>
      <c r="O48" s="6" t="n">
        <v>187</v>
      </c>
      <c r="P48" s="6" t="n">
        <v>0.35</v>
      </c>
      <c r="Q48" s="9" t="n">
        <v>46096</v>
      </c>
      <c r="R48" s="10" t="n">
        <f aca="false">IF(Q48="","",($W$2-Q48)/30.44)</f>
        <v>6.76741130091984</v>
      </c>
      <c r="S48" s="6" t="s">
        <v>378</v>
      </c>
      <c r="T48" s="6" t="s">
        <v>379</v>
      </c>
      <c r="U48" s="6" t="s">
        <v>380</v>
      </c>
    </row>
    <row r="49" customFormat="false" ht="15" hidden="false" customHeight="false" outlineLevel="0" collapsed="false">
      <c r="A49" s="6" t="str">
        <f aca="false">B49&amp;"|"&amp;D49</f>
        <v>Self-Esteem|8</v>
      </c>
      <c r="B49" s="6" t="s">
        <v>49</v>
      </c>
      <c r="C49" s="6" t="s">
        <v>50</v>
      </c>
      <c r="D49" s="6" t="n">
        <v>8</v>
      </c>
      <c r="E49" s="6" t="s">
        <v>381</v>
      </c>
      <c r="F49" s="6" t="s">
        <v>382</v>
      </c>
      <c r="G49" s="6" t="s">
        <v>383</v>
      </c>
      <c r="H49" s="6" t="s">
        <v>117</v>
      </c>
      <c r="I49" s="6" t="s">
        <v>384</v>
      </c>
      <c r="J49" s="7" t="n">
        <v>1.99</v>
      </c>
      <c r="K49" s="6" t="n">
        <v>4.8</v>
      </c>
      <c r="L49" s="8" t="n">
        <v>200</v>
      </c>
      <c r="M49" s="8" t="n">
        <v>3159</v>
      </c>
      <c r="N49" s="6" t="s">
        <v>119</v>
      </c>
      <c r="O49" s="6" t="n">
        <v>185</v>
      </c>
      <c r="P49" s="6" t="n">
        <v>2.3</v>
      </c>
      <c r="Q49" s="9" t="n">
        <v>46126</v>
      </c>
      <c r="R49" s="10" t="n">
        <f aca="false">IF(Q49="","",($W$2-Q49)/30.44)</f>
        <v>5.78186596583443</v>
      </c>
      <c r="S49" s="6" t="s">
        <v>185</v>
      </c>
      <c r="T49" s="6" t="s">
        <v>385</v>
      </c>
      <c r="U49" s="6" t="s">
        <v>386</v>
      </c>
    </row>
    <row r="50" customFormat="false" ht="15" hidden="false" customHeight="false" outlineLevel="0" collapsed="false">
      <c r="A50" s="6" t="str">
        <f aca="false">B50&amp;"|"&amp;D50</f>
        <v>Self-Esteem|9</v>
      </c>
      <c r="B50" s="6" t="s">
        <v>49</v>
      </c>
      <c r="C50" s="6" t="s">
        <v>50</v>
      </c>
      <c r="D50" s="6" t="n">
        <v>9</v>
      </c>
      <c r="E50" s="6" t="s">
        <v>387</v>
      </c>
      <c r="F50" s="6" t="s">
        <v>388</v>
      </c>
      <c r="G50" s="6" t="s">
        <v>389</v>
      </c>
      <c r="H50" s="6" t="s">
        <v>117</v>
      </c>
      <c r="I50" s="6" t="s">
        <v>390</v>
      </c>
      <c r="J50" s="7" t="n">
        <v>1.99</v>
      </c>
      <c r="K50" s="6" t="n">
        <v>4.7</v>
      </c>
      <c r="L50" s="8" t="n">
        <v>851</v>
      </c>
      <c r="M50" s="8" t="n">
        <v>3667</v>
      </c>
      <c r="N50" s="6" t="s">
        <v>127</v>
      </c>
      <c r="O50" s="6" t="n">
        <v>242</v>
      </c>
      <c r="P50" s="6" t="n">
        <v>10.8</v>
      </c>
      <c r="Q50" s="9" t="n">
        <v>43935</v>
      </c>
      <c r="R50" s="10" t="n">
        <f aca="false">IF(Q50="","",($W$2-Q50)/30.44)</f>
        <v>77.7595269382392</v>
      </c>
      <c r="S50" s="6" t="s">
        <v>146</v>
      </c>
      <c r="T50" s="6" t="s">
        <v>391</v>
      </c>
      <c r="U50" s="6" t="s">
        <v>392</v>
      </c>
    </row>
    <row r="51" customFormat="false" ht="15" hidden="false" customHeight="false" outlineLevel="0" collapsed="false">
      <c r="A51" s="6" t="str">
        <f aca="false">B51&amp;"|"&amp;D51</f>
        <v>Self-Esteem|10</v>
      </c>
      <c r="B51" s="6" t="s">
        <v>49</v>
      </c>
      <c r="C51" s="6" t="s">
        <v>50</v>
      </c>
      <c r="D51" s="6" t="n">
        <v>10</v>
      </c>
      <c r="E51" s="6" t="s">
        <v>393</v>
      </c>
      <c r="F51" s="6" t="s">
        <v>369</v>
      </c>
      <c r="G51" s="6" t="s">
        <v>394</v>
      </c>
      <c r="H51" s="6" t="s">
        <v>205</v>
      </c>
      <c r="I51" s="6" t="s">
        <v>395</v>
      </c>
      <c r="J51" s="7" t="n">
        <v>1.99</v>
      </c>
      <c r="K51" s="6" t="n">
        <v>4.5</v>
      </c>
      <c r="L51" s="8" t="n">
        <v>15833</v>
      </c>
      <c r="M51" s="8" t="n">
        <v>3934</v>
      </c>
      <c r="N51" s="6" t="s">
        <v>119</v>
      </c>
      <c r="O51" s="6" t="n">
        <v>163</v>
      </c>
      <c r="P51" s="6" t="n">
        <v>1.1</v>
      </c>
      <c r="Q51" s="9" t="n">
        <v>44256</v>
      </c>
      <c r="R51" s="10" t="n">
        <f aca="false">IF(Q51="","",($W$2-Q51)/30.44)</f>
        <v>67.2141918528252</v>
      </c>
      <c r="S51" s="6" t="s">
        <v>128</v>
      </c>
      <c r="T51" s="6" t="s">
        <v>396</v>
      </c>
      <c r="U51" s="6" t="s">
        <v>397</v>
      </c>
    </row>
    <row r="52" customFormat="false" ht="15" hidden="false" customHeight="false" outlineLevel="0" collapsed="false">
      <c r="A52" s="6" t="str">
        <f aca="false">B52&amp;"|"&amp;D52</f>
        <v>Self-Esteem|11</v>
      </c>
      <c r="B52" s="6" t="s">
        <v>49</v>
      </c>
      <c r="C52" s="6" t="s">
        <v>50</v>
      </c>
      <c r="D52" s="6" t="n">
        <v>11</v>
      </c>
      <c r="E52" s="6" t="s">
        <v>398</v>
      </c>
      <c r="F52" s="6" t="s">
        <v>399</v>
      </c>
      <c r="G52" s="6" t="s">
        <v>400</v>
      </c>
      <c r="H52" s="6" t="s">
        <v>117</v>
      </c>
      <c r="I52" s="6" t="s">
        <v>401</v>
      </c>
      <c r="J52" s="7" t="n">
        <v>4.99</v>
      </c>
      <c r="K52" s="6" t="n">
        <v>4.7</v>
      </c>
      <c r="L52" s="8" t="n">
        <v>52228</v>
      </c>
      <c r="M52" s="8" t="n">
        <v>4802</v>
      </c>
      <c r="N52" s="6" t="s">
        <v>119</v>
      </c>
      <c r="O52" s="6" t="n">
        <v>128</v>
      </c>
      <c r="P52" s="6" t="n">
        <v>1</v>
      </c>
      <c r="Q52" s="9" t="n">
        <v>42829</v>
      </c>
      <c r="R52" s="10" t="n">
        <f aca="false">IF(Q52="","",($W$2-Q52)/30.44)</f>
        <v>114.093298291721</v>
      </c>
      <c r="S52" s="6" t="s">
        <v>402</v>
      </c>
      <c r="T52" s="6" t="s">
        <v>403</v>
      </c>
      <c r="U52" s="6" t="s">
        <v>404</v>
      </c>
    </row>
    <row r="53" customFormat="false" ht="15" hidden="false" customHeight="false" outlineLevel="0" collapsed="false">
      <c r="A53" s="6" t="str">
        <f aca="false">B53&amp;"|"&amp;D53</f>
        <v>Self-Esteem|12</v>
      </c>
      <c r="B53" s="6" t="s">
        <v>49</v>
      </c>
      <c r="C53" s="6" t="s">
        <v>50</v>
      </c>
      <c r="D53" s="6" t="n">
        <v>12</v>
      </c>
      <c r="E53" s="6" t="s">
        <v>405</v>
      </c>
      <c r="F53" s="6" t="s">
        <v>406</v>
      </c>
      <c r="G53" s="6" t="s">
        <v>407</v>
      </c>
      <c r="H53" s="6" t="s">
        <v>117</v>
      </c>
      <c r="I53" s="6" t="s">
        <v>408</v>
      </c>
      <c r="J53" s="7" t="n">
        <v>8.54</v>
      </c>
      <c r="K53" s="6" t="n">
        <v>4.7</v>
      </c>
      <c r="L53" s="8" t="n">
        <v>54881</v>
      </c>
      <c r="M53" s="8" t="n">
        <v>5349</v>
      </c>
      <c r="N53" s="6" t="s">
        <v>119</v>
      </c>
      <c r="O53" s="6" t="n">
        <v>256</v>
      </c>
      <c r="P53" s="6" t="n">
        <v>1.8</v>
      </c>
      <c r="Q53" s="9" t="n">
        <v>40457</v>
      </c>
      <c r="R53" s="10" t="n">
        <f aca="false">IF(Q53="","",($W$2-Q53)/30.44)</f>
        <v>192.017082785808</v>
      </c>
      <c r="S53" s="6" t="s">
        <v>140</v>
      </c>
      <c r="T53" s="6" t="s">
        <v>409</v>
      </c>
      <c r="U53" s="6" t="s">
        <v>410</v>
      </c>
    </row>
    <row r="54" customFormat="false" ht="15" hidden="false" customHeight="false" outlineLevel="0" collapsed="false">
      <c r="A54" s="6" t="str">
        <f aca="false">B54&amp;"|"&amp;D54</f>
        <v>Self-Esteem|13</v>
      </c>
      <c r="B54" s="6" t="s">
        <v>49</v>
      </c>
      <c r="C54" s="6" t="s">
        <v>50</v>
      </c>
      <c r="D54" s="6" t="n">
        <v>13</v>
      </c>
      <c r="E54" s="6" t="s">
        <v>282</v>
      </c>
      <c r="F54" s="6" t="s">
        <v>283</v>
      </c>
      <c r="G54" s="6" t="s">
        <v>217</v>
      </c>
      <c r="H54" s="6" t="s">
        <v>117</v>
      </c>
      <c r="I54" s="6" t="s">
        <v>284</v>
      </c>
      <c r="J54" s="7" t="n">
        <v>13.99</v>
      </c>
      <c r="K54" s="6" t="n">
        <v>4.6</v>
      </c>
      <c r="L54" s="8" t="n">
        <v>28900</v>
      </c>
      <c r="M54" s="8" t="n">
        <v>7307</v>
      </c>
      <c r="N54" s="6" t="s">
        <v>127</v>
      </c>
      <c r="O54" s="6" t="n">
        <v>218</v>
      </c>
      <c r="P54" s="6" t="n">
        <v>2.1</v>
      </c>
      <c r="Q54" s="9" t="n">
        <v>42948</v>
      </c>
      <c r="R54" s="10" t="n">
        <f aca="false">IF(Q54="","",($W$2-Q54)/30.44)</f>
        <v>110.183968462549</v>
      </c>
      <c r="S54" s="6" t="s">
        <v>140</v>
      </c>
      <c r="T54" s="6" t="s">
        <v>285</v>
      </c>
      <c r="U54" s="6" t="s">
        <v>286</v>
      </c>
    </row>
    <row r="55" customFormat="false" ht="15" hidden="false" customHeight="false" outlineLevel="0" collapsed="false">
      <c r="A55" s="6" t="str">
        <f aca="false">B55&amp;"|"&amp;D55</f>
        <v>Self-Esteem|14</v>
      </c>
      <c r="B55" s="6" t="s">
        <v>49</v>
      </c>
      <c r="C55" s="6" t="s">
        <v>50</v>
      </c>
      <c r="D55" s="6" t="n">
        <v>14</v>
      </c>
      <c r="E55" s="6" t="s">
        <v>411</v>
      </c>
      <c r="F55" s="6" t="s">
        <v>412</v>
      </c>
      <c r="G55" s="6" t="s">
        <v>413</v>
      </c>
      <c r="H55" s="6" t="s">
        <v>117</v>
      </c>
      <c r="I55" s="6" t="s">
        <v>414</v>
      </c>
      <c r="J55" s="7" t="n">
        <v>8.99</v>
      </c>
      <c r="K55" s="6" t="n">
        <v>4.8</v>
      </c>
      <c r="L55" s="8" t="n">
        <v>25894</v>
      </c>
      <c r="M55" s="8" t="n">
        <v>7567</v>
      </c>
      <c r="N55" s="6" t="s">
        <v>127</v>
      </c>
      <c r="O55" s="6" t="n">
        <v>289</v>
      </c>
      <c r="P55" s="6" t="n">
        <v>11.1</v>
      </c>
      <c r="Q55" s="9" t="n">
        <v>44677</v>
      </c>
      <c r="R55" s="10" t="n">
        <f aca="false">IF(Q55="","",($W$2-Q55)/30.44)</f>
        <v>53.3837056504599</v>
      </c>
      <c r="S55" s="6" t="s">
        <v>140</v>
      </c>
      <c r="T55" s="6" t="s">
        <v>415</v>
      </c>
      <c r="U55" s="6" t="s">
        <v>416</v>
      </c>
    </row>
    <row r="56" customFormat="false" ht="15" hidden="false" customHeight="false" outlineLevel="0" collapsed="false">
      <c r="A56" s="6" t="str">
        <f aca="false">B56&amp;"|"&amp;D56</f>
        <v>Self-Esteem|15</v>
      </c>
      <c r="B56" s="6" t="s">
        <v>49</v>
      </c>
      <c r="C56" s="6" t="s">
        <v>50</v>
      </c>
      <c r="D56" s="6" t="n">
        <v>15</v>
      </c>
      <c r="E56" s="6" t="s">
        <v>299</v>
      </c>
      <c r="F56" s="6" t="s">
        <v>300</v>
      </c>
      <c r="G56" s="6" t="s">
        <v>301</v>
      </c>
      <c r="H56" s="6" t="s">
        <v>117</v>
      </c>
      <c r="I56" s="6" t="s">
        <v>302</v>
      </c>
      <c r="J56" s="7" t="n">
        <v>13.49</v>
      </c>
      <c r="K56" s="6" t="n">
        <v>4.5</v>
      </c>
      <c r="L56" s="8" t="n">
        <v>14757</v>
      </c>
      <c r="M56" s="8" t="n">
        <v>9373</v>
      </c>
      <c r="N56" s="6" t="s">
        <v>127</v>
      </c>
      <c r="O56" s="6" t="n">
        <v>283</v>
      </c>
      <c r="P56" s="6" t="n">
        <v>2.1</v>
      </c>
      <c r="Q56" s="9" t="n">
        <v>43599</v>
      </c>
      <c r="R56" s="10" t="n">
        <f aca="false">IF(Q56="","",($W$2-Q56)/30.44)</f>
        <v>88.7976346911958</v>
      </c>
      <c r="S56" s="6" t="s">
        <v>140</v>
      </c>
      <c r="T56" s="6" t="s">
        <v>303</v>
      </c>
      <c r="U56" s="6" t="s">
        <v>304</v>
      </c>
    </row>
    <row r="57" customFormat="false" ht="15" hidden="false" customHeight="false" outlineLevel="0" collapsed="false">
      <c r="A57" s="6" t="str">
        <f aca="false">B57&amp;"|"&amp;D57</f>
        <v>Self-Esteem|16</v>
      </c>
      <c r="B57" s="6" t="s">
        <v>49</v>
      </c>
      <c r="C57" s="6" t="s">
        <v>50</v>
      </c>
      <c r="D57" s="6" t="n">
        <v>16</v>
      </c>
      <c r="E57" s="6" t="s">
        <v>417</v>
      </c>
      <c r="F57" s="6" t="s">
        <v>418</v>
      </c>
      <c r="G57" s="6" t="s">
        <v>359</v>
      </c>
      <c r="H57" s="6" t="s">
        <v>117</v>
      </c>
      <c r="I57" s="6" t="s">
        <v>419</v>
      </c>
      <c r="J57" s="7" t="n">
        <v>15.99</v>
      </c>
      <c r="K57" s="6" t="n">
        <v>4.5</v>
      </c>
      <c r="L57" s="8" t="n">
        <v>100</v>
      </c>
      <c r="M57" s="8" t="n">
        <v>9843</v>
      </c>
      <c r="N57" s="6" t="s">
        <v>119</v>
      </c>
      <c r="O57" s="6" t="n">
        <v>298</v>
      </c>
      <c r="P57" s="6" t="n">
        <v>2.8</v>
      </c>
      <c r="Q57" s="9" t="n">
        <v>46259</v>
      </c>
      <c r="R57" s="10" t="n">
        <f aca="false">IF(Q57="","",($W$2-Q57)/30.44)</f>
        <v>1.41261498028909</v>
      </c>
      <c r="S57" s="6" t="s">
        <v>185</v>
      </c>
      <c r="T57" s="6" t="s">
        <v>420</v>
      </c>
      <c r="U57" s="6" t="s">
        <v>421</v>
      </c>
    </row>
    <row r="58" customFormat="false" ht="15" hidden="false" customHeight="false" outlineLevel="0" collapsed="false">
      <c r="A58" s="6" t="str">
        <f aca="false">B58&amp;"|"&amp;D58</f>
        <v>Self-Esteem|17</v>
      </c>
      <c r="B58" s="6" t="s">
        <v>49</v>
      </c>
      <c r="C58" s="6" t="s">
        <v>50</v>
      </c>
      <c r="D58" s="6" t="n">
        <v>17</v>
      </c>
      <c r="E58" s="6" t="s">
        <v>422</v>
      </c>
      <c r="F58" s="6" t="s">
        <v>423</v>
      </c>
      <c r="G58" s="6" t="s">
        <v>424</v>
      </c>
      <c r="H58" s="6" t="s">
        <v>117</v>
      </c>
      <c r="I58" s="6" t="s">
        <v>425</v>
      </c>
      <c r="J58" s="7" t="n">
        <v>2.99</v>
      </c>
      <c r="K58" s="6" t="n">
        <v>4.1</v>
      </c>
      <c r="L58" s="8" t="n">
        <v>252</v>
      </c>
      <c r="M58" s="8" t="n">
        <v>9916</v>
      </c>
      <c r="N58" s="6" t="s">
        <v>119</v>
      </c>
      <c r="O58" s="6" t="n">
        <v>304</v>
      </c>
      <c r="P58" s="6" t="n">
        <v>3.5</v>
      </c>
      <c r="Q58" s="9" t="n">
        <v>46126</v>
      </c>
      <c r="R58" s="10" t="n">
        <f aca="false">IF(Q58="","",($W$2-Q58)/30.44)</f>
        <v>5.78186596583443</v>
      </c>
      <c r="S58" s="6" t="s">
        <v>140</v>
      </c>
      <c r="T58" s="6" t="s">
        <v>426</v>
      </c>
      <c r="U58" s="6" t="s">
        <v>427</v>
      </c>
    </row>
    <row r="59" customFormat="false" ht="15" hidden="false" customHeight="false" outlineLevel="0" collapsed="false">
      <c r="A59" s="6" t="str">
        <f aca="false">B59&amp;"|"&amp;D59</f>
        <v>Self-Esteem|18</v>
      </c>
      <c r="B59" s="6" t="s">
        <v>49</v>
      </c>
      <c r="C59" s="6" t="s">
        <v>50</v>
      </c>
      <c r="D59" s="6" t="n">
        <v>18</v>
      </c>
      <c r="E59" s="6" t="s">
        <v>428</v>
      </c>
      <c r="F59" s="6" t="s">
        <v>336</v>
      </c>
      <c r="G59" s="6" t="s">
        <v>125</v>
      </c>
      <c r="H59" s="6" t="s">
        <v>117</v>
      </c>
      <c r="I59" s="6" t="s">
        <v>429</v>
      </c>
      <c r="J59" s="7" t="n">
        <v>2.99</v>
      </c>
      <c r="K59" s="6" t="n">
        <v>4.6</v>
      </c>
      <c r="L59" s="8" t="n">
        <v>6007</v>
      </c>
      <c r="M59" s="8" t="n">
        <v>10396</v>
      </c>
      <c r="N59" s="6" t="s">
        <v>127</v>
      </c>
      <c r="O59" s="6" t="n">
        <v>242</v>
      </c>
      <c r="P59" s="6" t="n">
        <v>2.4</v>
      </c>
      <c r="Q59" s="9" t="n">
        <v>43158</v>
      </c>
      <c r="R59" s="10" t="n">
        <f aca="false">IF(Q59="","",($W$2-Q59)/30.44)</f>
        <v>103.285151116951</v>
      </c>
      <c r="S59" s="6" t="s">
        <v>128</v>
      </c>
      <c r="T59" s="6" t="s">
        <v>430</v>
      </c>
      <c r="U59" s="6" t="s">
        <v>431</v>
      </c>
    </row>
    <row r="60" customFormat="false" ht="15" hidden="false" customHeight="false" outlineLevel="0" collapsed="false">
      <c r="A60" s="6" t="str">
        <f aca="false">B60&amp;"|"&amp;D60</f>
        <v>Self-Esteem|19</v>
      </c>
      <c r="B60" s="6" t="s">
        <v>49</v>
      </c>
      <c r="C60" s="6" t="s">
        <v>50</v>
      </c>
      <c r="D60" s="6" t="n">
        <v>19</v>
      </c>
      <c r="E60" s="6" t="s">
        <v>432</v>
      </c>
      <c r="F60" s="6" t="s">
        <v>433</v>
      </c>
      <c r="G60" s="6" t="s">
        <v>151</v>
      </c>
      <c r="H60" s="6" t="s">
        <v>152</v>
      </c>
      <c r="I60" s="6" t="s">
        <v>434</v>
      </c>
      <c r="J60" s="7" t="n">
        <v>5.99</v>
      </c>
      <c r="K60" s="6" t="n">
        <v>4.4</v>
      </c>
      <c r="L60" s="8" t="n">
        <v>105</v>
      </c>
      <c r="M60" s="8" t="n">
        <v>10862</v>
      </c>
      <c r="N60" s="6" t="s">
        <v>127</v>
      </c>
      <c r="O60" s="6" t="n">
        <v>81</v>
      </c>
      <c r="P60" s="6" t="n">
        <v>2</v>
      </c>
      <c r="Q60" s="9" t="n">
        <v>45819</v>
      </c>
      <c r="R60" s="10" t="n">
        <f aca="false">IF(Q60="","",($W$2-Q60)/30.44)</f>
        <v>15.8672798948752</v>
      </c>
      <c r="S60" s="6" t="s">
        <v>140</v>
      </c>
      <c r="T60" s="6" t="s">
        <v>435</v>
      </c>
      <c r="U60" s="6" t="s">
        <v>436</v>
      </c>
    </row>
    <row r="61" customFormat="false" ht="15" hidden="false" customHeight="false" outlineLevel="0" collapsed="false">
      <c r="A61" s="6" t="str">
        <f aca="false">B61&amp;"|"&amp;D61</f>
        <v>Self-Esteem|20</v>
      </c>
      <c r="B61" s="6" t="s">
        <v>49</v>
      </c>
      <c r="C61" s="6" t="s">
        <v>50</v>
      </c>
      <c r="D61" s="6" t="n">
        <v>20</v>
      </c>
      <c r="E61" s="6" t="s">
        <v>437</v>
      </c>
      <c r="F61" s="6" t="s">
        <v>438</v>
      </c>
      <c r="G61" s="6" t="s">
        <v>217</v>
      </c>
      <c r="H61" s="6" t="s">
        <v>117</v>
      </c>
      <c r="I61" s="6" t="s">
        <v>439</v>
      </c>
      <c r="J61" s="7" t="n">
        <v>11.99</v>
      </c>
      <c r="K61" s="6" t="n">
        <v>4.5</v>
      </c>
      <c r="L61" s="8" t="n">
        <v>14322</v>
      </c>
      <c r="M61" s="8" t="n">
        <v>11053</v>
      </c>
      <c r="N61" s="6" t="s">
        <v>127</v>
      </c>
      <c r="O61" s="6" t="n">
        <v>363</v>
      </c>
      <c r="P61" s="6" t="n">
        <v>5.6</v>
      </c>
      <c r="Q61" s="9" t="n">
        <v>44572</v>
      </c>
      <c r="R61" s="10" t="n">
        <f aca="false">IF(Q61="","",($W$2-Q61)/30.44)</f>
        <v>56.8331143232589</v>
      </c>
      <c r="S61" s="6" t="s">
        <v>140</v>
      </c>
      <c r="T61" s="6" t="s">
        <v>440</v>
      </c>
      <c r="U61" s="6" t="s">
        <v>441</v>
      </c>
    </row>
    <row r="62" customFormat="false" ht="15" hidden="false" customHeight="false" outlineLevel="0" collapsed="false">
      <c r="A62" s="6" t="str">
        <f aca="false">B62&amp;"|"&amp;D62</f>
        <v>Motivational|1</v>
      </c>
      <c r="B62" s="6" t="s">
        <v>52</v>
      </c>
      <c r="C62" s="6" t="s">
        <v>53</v>
      </c>
      <c r="D62" s="6" t="n">
        <v>1</v>
      </c>
      <c r="E62" s="6" t="s">
        <v>345</v>
      </c>
      <c r="F62" s="6" t="s">
        <v>346</v>
      </c>
      <c r="G62" s="6" t="s">
        <v>347</v>
      </c>
      <c r="H62" s="6" t="s">
        <v>117</v>
      </c>
      <c r="I62" s="6" t="s">
        <v>348</v>
      </c>
      <c r="J62" s="7" t="n">
        <v>2.99</v>
      </c>
      <c r="K62" s="6" t="n">
        <v>4.5</v>
      </c>
      <c r="L62" s="8" t="n">
        <v>27846</v>
      </c>
      <c r="M62" s="8" t="n">
        <v>225</v>
      </c>
      <c r="N62" s="6" t="s">
        <v>127</v>
      </c>
      <c r="O62" s="6" t="n">
        <v>288</v>
      </c>
      <c r="P62" s="6" t="n">
        <v>2.6</v>
      </c>
      <c r="Q62" s="9" t="n">
        <v>43228</v>
      </c>
      <c r="R62" s="10" t="n">
        <f aca="false">IF(Q62="","",($W$2-Q62)/30.44)</f>
        <v>100.985545335085</v>
      </c>
      <c r="S62" s="6" t="s">
        <v>140</v>
      </c>
      <c r="T62" s="6" t="s">
        <v>349</v>
      </c>
      <c r="U62" s="6" t="s">
        <v>350</v>
      </c>
    </row>
    <row r="63" customFormat="false" ht="15" hidden="false" customHeight="false" outlineLevel="0" collapsed="false">
      <c r="A63" s="6" t="str">
        <f aca="false">B63&amp;"|"&amp;D63</f>
        <v>Motivational|2</v>
      </c>
      <c r="B63" s="6" t="s">
        <v>52</v>
      </c>
      <c r="C63" s="6" t="s">
        <v>53</v>
      </c>
      <c r="D63" s="6" t="n">
        <v>2</v>
      </c>
      <c r="E63" s="6" t="s">
        <v>442</v>
      </c>
      <c r="F63" s="6" t="s">
        <v>443</v>
      </c>
      <c r="G63" s="6" t="s">
        <v>444</v>
      </c>
      <c r="H63" s="6" t="s">
        <v>117</v>
      </c>
      <c r="I63" s="6" t="s">
        <v>445</v>
      </c>
      <c r="J63" s="7" t="n">
        <v>2.99</v>
      </c>
      <c r="K63" s="6" t="n">
        <v>4.7</v>
      </c>
      <c r="L63" s="8" t="n">
        <v>100671</v>
      </c>
      <c r="M63" s="8" t="n">
        <v>508</v>
      </c>
      <c r="N63" s="6" t="s">
        <v>119</v>
      </c>
      <c r="O63" s="6" t="n">
        <v>188</v>
      </c>
      <c r="P63" s="6" t="n">
        <v>3.8</v>
      </c>
      <c r="Q63" s="9" t="n">
        <v>38869</v>
      </c>
      <c r="R63" s="10" t="n">
        <f aca="false">IF(Q63="","",($W$2-Q63)/30.44)</f>
        <v>244.185282522996</v>
      </c>
      <c r="S63" s="6" t="s">
        <v>140</v>
      </c>
      <c r="T63" s="6" t="s">
        <v>446</v>
      </c>
      <c r="U63" s="6" t="s">
        <v>447</v>
      </c>
    </row>
    <row r="64" customFormat="false" ht="15" hidden="false" customHeight="false" outlineLevel="0" collapsed="false">
      <c r="A64" s="6" t="str">
        <f aca="false">B64&amp;"|"&amp;D64</f>
        <v>Motivational|3</v>
      </c>
      <c r="B64" s="6" t="s">
        <v>52</v>
      </c>
      <c r="C64" s="6" t="s">
        <v>53</v>
      </c>
      <c r="D64" s="6" t="n">
        <v>3</v>
      </c>
      <c r="E64" s="6" t="s">
        <v>448</v>
      </c>
      <c r="F64" s="6" t="s">
        <v>449</v>
      </c>
      <c r="G64" s="6" t="s">
        <v>450</v>
      </c>
      <c r="H64" s="6" t="s">
        <v>117</v>
      </c>
      <c r="I64" s="6" t="s">
        <v>451</v>
      </c>
      <c r="J64" s="7" t="n">
        <v>14.99</v>
      </c>
      <c r="K64" s="6" t="n">
        <v>4.8</v>
      </c>
      <c r="L64" s="8" t="n">
        <v>268</v>
      </c>
      <c r="M64" s="8" t="n">
        <v>519</v>
      </c>
      <c r="N64" s="6" t="s">
        <v>119</v>
      </c>
      <c r="O64" s="6" t="n">
        <v>303</v>
      </c>
      <c r="P64" s="6" t="n">
        <v>31.5</v>
      </c>
      <c r="Q64" s="9" t="n">
        <v>46294</v>
      </c>
      <c r="R64" s="10" t="n">
        <f aca="false">IF(Q64="","",($W$2-Q64)/30.44)</f>
        <v>0.26281208935611</v>
      </c>
      <c r="S64" s="6" t="s">
        <v>140</v>
      </c>
      <c r="T64" s="6" t="s">
        <v>452</v>
      </c>
      <c r="U64" s="6" t="s">
        <v>453</v>
      </c>
    </row>
    <row r="65" customFormat="false" ht="15" hidden="false" customHeight="false" outlineLevel="0" collapsed="false">
      <c r="A65" s="6" t="str">
        <f aca="false">B65&amp;"|"&amp;D65</f>
        <v>Motivational|4</v>
      </c>
      <c r="B65" s="6" t="s">
        <v>52</v>
      </c>
      <c r="C65" s="6" t="s">
        <v>53</v>
      </c>
      <c r="D65" s="6" t="n">
        <v>4</v>
      </c>
      <c r="E65" s="6" t="s">
        <v>454</v>
      </c>
      <c r="F65" s="6" t="s">
        <v>267</v>
      </c>
      <c r="G65" s="6" t="s">
        <v>125</v>
      </c>
      <c r="H65" s="6" t="s">
        <v>117</v>
      </c>
      <c r="I65" s="6" t="s">
        <v>455</v>
      </c>
      <c r="J65" s="7" t="n">
        <v>3.99</v>
      </c>
      <c r="K65" s="6" t="n">
        <v>4.7</v>
      </c>
      <c r="L65" s="8" t="n">
        <v>28746</v>
      </c>
      <c r="M65" s="8" t="n">
        <v>872</v>
      </c>
      <c r="N65" s="6" t="s">
        <v>127</v>
      </c>
      <c r="O65" s="6" t="n">
        <v>288</v>
      </c>
      <c r="P65" s="6" t="n">
        <v>16.2</v>
      </c>
      <c r="Q65" s="9" t="n">
        <v>44152</v>
      </c>
      <c r="R65" s="10" t="n">
        <f aca="false">IF(Q65="","",($W$2-Q65)/30.44)</f>
        <v>70.6307490144547</v>
      </c>
      <c r="S65" s="6" t="s">
        <v>140</v>
      </c>
      <c r="T65" s="6" t="s">
        <v>456</v>
      </c>
      <c r="U65" s="6" t="s">
        <v>457</v>
      </c>
    </row>
    <row r="66" customFormat="false" ht="15" hidden="false" customHeight="false" outlineLevel="0" collapsed="false">
      <c r="A66" s="6" t="str">
        <f aca="false">B66&amp;"|"&amp;D66</f>
        <v>Motivational|5</v>
      </c>
      <c r="B66" s="6" t="s">
        <v>52</v>
      </c>
      <c r="C66" s="6" t="s">
        <v>53</v>
      </c>
      <c r="D66" s="6" t="n">
        <v>5</v>
      </c>
      <c r="E66" s="6" t="s">
        <v>458</v>
      </c>
      <c r="F66" s="6" t="s">
        <v>459</v>
      </c>
      <c r="G66" s="6" t="s">
        <v>460</v>
      </c>
      <c r="H66" s="6" t="s">
        <v>117</v>
      </c>
      <c r="I66" s="6" t="s">
        <v>461</v>
      </c>
      <c r="J66" s="7" t="n">
        <v>1.99</v>
      </c>
      <c r="K66" s="6" t="n">
        <v>4.5</v>
      </c>
      <c r="L66" s="8" t="n">
        <v>4001</v>
      </c>
      <c r="M66" s="8" t="n">
        <v>1385</v>
      </c>
      <c r="N66" s="6" t="s">
        <v>119</v>
      </c>
      <c r="O66" s="6" t="n">
        <v>268</v>
      </c>
      <c r="P66" s="6" t="n">
        <v>1.6</v>
      </c>
      <c r="Q66" s="9" t="n">
        <v>44383</v>
      </c>
      <c r="R66" s="10" t="n">
        <f aca="false">IF(Q66="","",($W$2-Q66)/30.44)</f>
        <v>63.042049934297</v>
      </c>
      <c r="S66" s="6" t="s">
        <v>146</v>
      </c>
      <c r="T66" s="6" t="s">
        <v>462</v>
      </c>
      <c r="U66" s="6" t="s">
        <v>463</v>
      </c>
    </row>
    <row r="67" customFormat="false" ht="15" hidden="false" customHeight="false" outlineLevel="0" collapsed="false">
      <c r="A67" s="6" t="str">
        <f aca="false">B67&amp;"|"&amp;D67</f>
        <v>Motivational|6</v>
      </c>
      <c r="B67" s="6" t="s">
        <v>52</v>
      </c>
      <c r="C67" s="6" t="s">
        <v>53</v>
      </c>
      <c r="D67" s="6" t="n">
        <v>6</v>
      </c>
      <c r="E67" s="6" t="s">
        <v>464</v>
      </c>
      <c r="F67" s="6" t="s">
        <v>300</v>
      </c>
      <c r="G67" s="6" t="s">
        <v>301</v>
      </c>
      <c r="H67" s="6" t="s">
        <v>117</v>
      </c>
      <c r="I67" s="6" t="s">
        <v>465</v>
      </c>
      <c r="J67" s="7" t="n">
        <v>13.99</v>
      </c>
      <c r="K67" s="6" t="n">
        <v>4.5</v>
      </c>
      <c r="L67" s="8" t="n">
        <v>162230</v>
      </c>
      <c r="M67" s="8" t="n">
        <v>1571</v>
      </c>
      <c r="N67" s="6" t="s">
        <v>127</v>
      </c>
      <c r="O67" s="6" t="n">
        <v>212</v>
      </c>
      <c r="P67" s="6" t="n">
        <v>2.2</v>
      </c>
      <c r="Q67" s="9" t="n">
        <v>42626</v>
      </c>
      <c r="R67" s="10" t="n">
        <f aca="false">IF(Q67="","",($W$2-Q67)/30.44)</f>
        <v>120.762155059133</v>
      </c>
      <c r="S67" s="6" t="s">
        <v>140</v>
      </c>
      <c r="T67" s="6" t="s">
        <v>466</v>
      </c>
      <c r="U67" s="6" t="s">
        <v>467</v>
      </c>
    </row>
    <row r="68" customFormat="false" ht="15" hidden="false" customHeight="false" outlineLevel="0" collapsed="false">
      <c r="A68" s="6" t="str">
        <f aca="false">B68&amp;"|"&amp;D68</f>
        <v>Motivational|7</v>
      </c>
      <c r="B68" s="6" t="s">
        <v>52</v>
      </c>
      <c r="C68" s="6" t="s">
        <v>53</v>
      </c>
      <c r="D68" s="6" t="n">
        <v>7</v>
      </c>
      <c r="E68" s="6" t="s">
        <v>468</v>
      </c>
      <c r="F68" s="6" t="s">
        <v>336</v>
      </c>
      <c r="G68" s="6" t="s">
        <v>125</v>
      </c>
      <c r="H68" s="6" t="s">
        <v>117</v>
      </c>
      <c r="I68" s="6" t="s">
        <v>469</v>
      </c>
      <c r="J68" s="7" t="n">
        <v>14.99</v>
      </c>
      <c r="K68" s="6" t="n">
        <v>5</v>
      </c>
      <c r="L68" s="8" t="n">
        <v>21</v>
      </c>
      <c r="M68" s="8" t="n">
        <v>1930</v>
      </c>
      <c r="N68" s="6" t="s">
        <v>119</v>
      </c>
      <c r="O68" s="6" t="n">
        <v>231</v>
      </c>
      <c r="P68" s="6" t="n">
        <v>1</v>
      </c>
      <c r="Q68" s="9" t="n">
        <v>46301</v>
      </c>
      <c r="R68" s="10" t="n">
        <f aca="false">IF(Q68="","",($W$2-Q68)/30.44)</f>
        <v>0.0328515111695138</v>
      </c>
      <c r="S68" s="6" t="s">
        <v>185</v>
      </c>
      <c r="T68" s="6" t="s">
        <v>470</v>
      </c>
      <c r="U68" s="6" t="s">
        <v>471</v>
      </c>
    </row>
    <row r="69" customFormat="false" ht="15" hidden="false" customHeight="false" outlineLevel="0" collapsed="false">
      <c r="A69" s="6" t="str">
        <f aca="false">B69&amp;"|"&amp;D69</f>
        <v>Motivational|8</v>
      </c>
      <c r="B69" s="6" t="s">
        <v>52</v>
      </c>
      <c r="C69" s="6" t="s">
        <v>53</v>
      </c>
      <c r="D69" s="6" t="n">
        <v>8</v>
      </c>
      <c r="E69" s="6" t="s">
        <v>472</v>
      </c>
      <c r="F69" s="6" t="s">
        <v>473</v>
      </c>
      <c r="G69" s="6" t="s">
        <v>474</v>
      </c>
      <c r="H69" s="6" t="s">
        <v>117</v>
      </c>
      <c r="I69" s="6" t="s">
        <v>475</v>
      </c>
      <c r="J69" s="7" t="n">
        <v>11.99</v>
      </c>
      <c r="K69" s="6" t="n">
        <v>4.6</v>
      </c>
      <c r="L69" s="8" t="n">
        <v>3241</v>
      </c>
      <c r="M69" s="8" t="n">
        <v>2339</v>
      </c>
      <c r="N69" s="6" t="s">
        <v>119</v>
      </c>
      <c r="O69" s="6" t="n">
        <v>186</v>
      </c>
      <c r="P69" s="6" t="n">
        <v>2.7</v>
      </c>
      <c r="Q69" s="9" t="n">
        <v>45573</v>
      </c>
      <c r="R69" s="10" t="n">
        <f aca="false">IF(Q69="","",($W$2-Q69)/30.44)</f>
        <v>23.9487516425756</v>
      </c>
      <c r="S69" s="6" t="s">
        <v>140</v>
      </c>
      <c r="T69" s="6" t="s">
        <v>476</v>
      </c>
      <c r="U69" s="6" t="s">
        <v>477</v>
      </c>
    </row>
    <row r="70" customFormat="false" ht="15" hidden="false" customHeight="false" outlineLevel="0" collapsed="false">
      <c r="A70" s="6" t="str">
        <f aca="false">B70&amp;"|"&amp;D70</f>
        <v>Motivational|9</v>
      </c>
      <c r="B70" s="6" t="s">
        <v>52</v>
      </c>
      <c r="C70" s="6" t="s">
        <v>53</v>
      </c>
      <c r="D70" s="6" t="n">
        <v>9</v>
      </c>
      <c r="E70" s="6" t="s">
        <v>478</v>
      </c>
      <c r="F70" s="6" t="s">
        <v>479</v>
      </c>
      <c r="G70" s="6" t="s">
        <v>480</v>
      </c>
      <c r="H70" s="6" t="s">
        <v>117</v>
      </c>
      <c r="I70" s="6" t="s">
        <v>481</v>
      </c>
      <c r="J70" s="7" t="n">
        <v>2.99</v>
      </c>
      <c r="K70" s="6" t="n">
        <v>4.6</v>
      </c>
      <c r="L70" s="8" t="n">
        <v>501</v>
      </c>
      <c r="M70" s="8" t="n">
        <v>2356</v>
      </c>
      <c r="N70" s="6" t="s">
        <v>119</v>
      </c>
      <c r="O70" s="6" t="n">
        <v>416</v>
      </c>
      <c r="P70" s="6" t="n">
        <v>2.3</v>
      </c>
      <c r="Q70" s="9" t="n">
        <v>46119</v>
      </c>
      <c r="R70" s="10" t="n">
        <f aca="false">IF(Q70="","",($W$2-Q70)/30.44)</f>
        <v>6.01182654402103</v>
      </c>
      <c r="S70" s="6" t="s">
        <v>140</v>
      </c>
      <c r="T70" s="6" t="s">
        <v>482</v>
      </c>
      <c r="U70" s="6" t="s">
        <v>483</v>
      </c>
    </row>
    <row r="71" customFormat="false" ht="15" hidden="false" customHeight="false" outlineLevel="0" collapsed="false">
      <c r="A71" s="6" t="str">
        <f aca="false">B71&amp;"|"&amp;D71</f>
        <v>Motivational|10</v>
      </c>
      <c r="B71" s="6" t="s">
        <v>52</v>
      </c>
      <c r="C71" s="6" t="s">
        <v>53</v>
      </c>
      <c r="D71" s="6" t="n">
        <v>10</v>
      </c>
      <c r="E71" s="6" t="s">
        <v>484</v>
      </c>
      <c r="F71" s="6" t="s">
        <v>485</v>
      </c>
      <c r="G71" s="6" t="s">
        <v>486</v>
      </c>
      <c r="H71" s="6" t="s">
        <v>117</v>
      </c>
      <c r="I71" s="6" t="s">
        <v>487</v>
      </c>
      <c r="J71" s="7" t="n">
        <v>12.99</v>
      </c>
      <c r="K71" s="6" t="n">
        <v>4.8</v>
      </c>
      <c r="L71" s="8" t="n">
        <v>18907</v>
      </c>
      <c r="M71" s="8" t="n">
        <v>2417</v>
      </c>
      <c r="N71" s="6" t="s">
        <v>119</v>
      </c>
      <c r="O71" s="6" t="n">
        <v>624</v>
      </c>
      <c r="P71" s="6" t="n">
        <v>1.7</v>
      </c>
      <c r="Q71" s="9" t="n">
        <v>43396</v>
      </c>
      <c r="R71" s="10" t="n">
        <f aca="false">IF(Q71="","",($W$2-Q71)/30.44)</f>
        <v>95.4664914586071</v>
      </c>
      <c r="S71" s="6" t="s">
        <v>140</v>
      </c>
      <c r="T71" s="6" t="s">
        <v>488</v>
      </c>
      <c r="U71" s="6" t="s">
        <v>489</v>
      </c>
    </row>
    <row r="72" customFormat="false" ht="15" hidden="false" customHeight="false" outlineLevel="0" collapsed="false">
      <c r="A72" s="6" t="str">
        <f aca="false">B72&amp;"|"&amp;D72</f>
        <v>Motivational|11</v>
      </c>
      <c r="B72" s="6" t="s">
        <v>52</v>
      </c>
      <c r="C72" s="6" t="s">
        <v>53</v>
      </c>
      <c r="D72" s="6" t="n">
        <v>11</v>
      </c>
      <c r="E72" s="6" t="s">
        <v>490</v>
      </c>
      <c r="F72" s="6" t="s">
        <v>491</v>
      </c>
      <c r="G72" s="6" t="s">
        <v>492</v>
      </c>
      <c r="H72" s="6" t="s">
        <v>117</v>
      </c>
      <c r="I72" s="6" t="s">
        <v>493</v>
      </c>
      <c r="J72" s="7" t="n">
        <v>1.99</v>
      </c>
      <c r="K72" s="6" t="n">
        <v>4.6</v>
      </c>
      <c r="L72" s="8" t="n">
        <v>396</v>
      </c>
      <c r="M72" s="8" t="n">
        <v>2468</v>
      </c>
      <c r="N72" s="6" t="s">
        <v>119</v>
      </c>
      <c r="O72" s="6" t="n">
        <v>167</v>
      </c>
      <c r="P72" s="6" t="n">
        <v>0.91</v>
      </c>
      <c r="Q72" s="9" t="n">
        <v>45972</v>
      </c>
      <c r="R72" s="10" t="n">
        <f aca="false">IF(Q72="","",($W$2-Q72)/30.44)</f>
        <v>10.8409986859396</v>
      </c>
      <c r="S72" s="6" t="s">
        <v>185</v>
      </c>
      <c r="T72" s="6" t="s">
        <v>494</v>
      </c>
      <c r="U72" s="6" t="s">
        <v>495</v>
      </c>
    </row>
    <row r="73" customFormat="false" ht="15" hidden="false" customHeight="false" outlineLevel="0" collapsed="false">
      <c r="A73" s="6" t="str">
        <f aca="false">B73&amp;"|"&amp;D73</f>
        <v>Motivational|12</v>
      </c>
      <c r="B73" s="6" t="s">
        <v>52</v>
      </c>
      <c r="C73" s="6" t="s">
        <v>53</v>
      </c>
      <c r="D73" s="6" t="n">
        <v>12</v>
      </c>
      <c r="E73" s="6" t="s">
        <v>256</v>
      </c>
      <c r="F73" s="6" t="s">
        <v>257</v>
      </c>
      <c r="G73" s="6" t="s">
        <v>151</v>
      </c>
      <c r="H73" s="6" t="s">
        <v>152</v>
      </c>
      <c r="I73" s="6" t="s">
        <v>258</v>
      </c>
      <c r="J73" s="7" t="n">
        <v>2.99</v>
      </c>
      <c r="K73" s="6" t="n">
        <v>4.2</v>
      </c>
      <c r="L73" s="8" t="n">
        <v>15783</v>
      </c>
      <c r="M73" s="8" t="n">
        <v>2573</v>
      </c>
      <c r="N73" s="6" t="s">
        <v>127</v>
      </c>
      <c r="O73" s="6" t="n">
        <v>65</v>
      </c>
      <c r="P73" s="6" t="n">
        <v>1.3</v>
      </c>
      <c r="Q73" s="9" t="n">
        <v>44381</v>
      </c>
      <c r="R73" s="10" t="n">
        <f aca="false">IF(Q73="","",($W$2-Q73)/30.44)</f>
        <v>63.107752956636</v>
      </c>
      <c r="S73" s="6" t="s">
        <v>253</v>
      </c>
      <c r="T73" s="6" t="s">
        <v>259</v>
      </c>
      <c r="U73" s="6" t="s">
        <v>260</v>
      </c>
    </row>
    <row r="74" customFormat="false" ht="15" hidden="false" customHeight="false" outlineLevel="0" collapsed="false">
      <c r="A74" s="6" t="str">
        <f aca="false">B74&amp;"|"&amp;D74</f>
        <v>Motivational|13</v>
      </c>
      <c r="B74" s="6" t="s">
        <v>52</v>
      </c>
      <c r="C74" s="6" t="s">
        <v>53</v>
      </c>
      <c r="D74" s="6" t="n">
        <v>13</v>
      </c>
      <c r="E74" s="6" t="s">
        <v>496</v>
      </c>
      <c r="F74" s="6" t="s">
        <v>497</v>
      </c>
      <c r="G74" s="6" t="s">
        <v>498</v>
      </c>
      <c r="H74" s="6" t="s">
        <v>117</v>
      </c>
      <c r="I74" s="6" t="s">
        <v>499</v>
      </c>
      <c r="J74" s="7" t="n">
        <v>14.99</v>
      </c>
      <c r="K74" s="6" t="n">
        <v>4.5</v>
      </c>
      <c r="L74" s="8" t="n">
        <v>117</v>
      </c>
      <c r="M74" s="8" t="n">
        <v>3693</v>
      </c>
      <c r="N74" s="6" t="s">
        <v>119</v>
      </c>
      <c r="O74" s="6" t="n">
        <v>352</v>
      </c>
      <c r="P74" s="6" t="n">
        <v>17.1</v>
      </c>
      <c r="Q74" s="9" t="n">
        <v>46266</v>
      </c>
      <c r="R74" s="10" t="n">
        <f aca="false">IF(Q74="","",($W$2-Q74)/30.44)</f>
        <v>1.1826544021025</v>
      </c>
      <c r="S74" s="6" t="s">
        <v>146</v>
      </c>
      <c r="T74" s="6" t="s">
        <v>500</v>
      </c>
      <c r="U74" s="6" t="s">
        <v>501</v>
      </c>
    </row>
    <row r="75" customFormat="false" ht="15" hidden="false" customHeight="false" outlineLevel="0" collapsed="false">
      <c r="A75" s="6" t="str">
        <f aca="false">B75&amp;"|"&amp;D75</f>
        <v>Motivational|14</v>
      </c>
      <c r="B75" s="6" t="s">
        <v>52</v>
      </c>
      <c r="C75" s="6" t="s">
        <v>53</v>
      </c>
      <c r="D75" s="6" t="n">
        <v>14</v>
      </c>
      <c r="E75" s="6" t="s">
        <v>502</v>
      </c>
      <c r="F75" s="6" t="s">
        <v>503</v>
      </c>
      <c r="G75" s="6" t="s">
        <v>125</v>
      </c>
      <c r="H75" s="6" t="s">
        <v>117</v>
      </c>
      <c r="I75" s="6" t="s">
        <v>504</v>
      </c>
      <c r="J75" s="7" t="n">
        <v>3.99</v>
      </c>
      <c r="K75" s="6" t="n">
        <v>4.8</v>
      </c>
      <c r="L75" s="8" t="n">
        <v>1582</v>
      </c>
      <c r="M75" s="8" t="n">
        <v>3584</v>
      </c>
      <c r="N75" s="6" t="s">
        <v>127</v>
      </c>
      <c r="O75" s="6" t="n">
        <v>240</v>
      </c>
      <c r="P75" s="6" t="n">
        <v>5.4</v>
      </c>
      <c r="Q75" s="9" t="n">
        <v>45881</v>
      </c>
      <c r="R75" s="10" t="n">
        <f aca="false">IF(Q75="","",($W$2-Q75)/30.44)</f>
        <v>13.8304862023653</v>
      </c>
      <c r="S75" s="6" t="s">
        <v>140</v>
      </c>
      <c r="T75" s="6" t="s">
        <v>505</v>
      </c>
      <c r="U75" s="6" t="s">
        <v>506</v>
      </c>
    </row>
    <row r="76" customFormat="false" ht="15" hidden="false" customHeight="false" outlineLevel="0" collapsed="false">
      <c r="A76" s="6" t="str">
        <f aca="false">B76&amp;"|"&amp;D76</f>
        <v>Motivational|15</v>
      </c>
      <c r="B76" s="6" t="s">
        <v>52</v>
      </c>
      <c r="C76" s="6" t="s">
        <v>53</v>
      </c>
      <c r="D76" s="6" t="n">
        <v>15</v>
      </c>
      <c r="E76" s="6" t="s">
        <v>507</v>
      </c>
      <c r="F76" s="6" t="s">
        <v>508</v>
      </c>
      <c r="G76" s="6" t="s">
        <v>509</v>
      </c>
      <c r="H76" s="6" t="s">
        <v>117</v>
      </c>
      <c r="I76" s="6" t="s">
        <v>510</v>
      </c>
      <c r="J76" s="7" t="n">
        <v>9.99</v>
      </c>
      <c r="K76" s="6" t="n">
        <v>4.6</v>
      </c>
      <c r="L76" s="8" t="n">
        <v>4563</v>
      </c>
      <c r="M76" s="8" t="n">
        <v>3647</v>
      </c>
      <c r="N76" s="6" t="s">
        <v>119</v>
      </c>
      <c r="O76" s="6" t="n">
        <v>257</v>
      </c>
      <c r="P76" s="6" t="n">
        <v>17</v>
      </c>
      <c r="Q76" s="9" t="n">
        <v>43858</v>
      </c>
      <c r="R76" s="10" t="n">
        <f aca="false">IF(Q76="","",($W$2-Q76)/30.44)</f>
        <v>80.2890932982917</v>
      </c>
      <c r="S76" s="6" t="s">
        <v>402</v>
      </c>
      <c r="T76" s="6" t="s">
        <v>511</v>
      </c>
      <c r="U76" s="6" t="s">
        <v>512</v>
      </c>
    </row>
    <row r="77" customFormat="false" ht="15" hidden="false" customHeight="false" outlineLevel="0" collapsed="false">
      <c r="A77" s="6" t="str">
        <f aca="false">B77&amp;"|"&amp;D77</f>
        <v>Motivational|16</v>
      </c>
      <c r="B77" s="6" t="s">
        <v>52</v>
      </c>
      <c r="C77" s="6" t="s">
        <v>53</v>
      </c>
      <c r="D77" s="6" t="n">
        <v>16</v>
      </c>
      <c r="E77" s="6" t="s">
        <v>513</v>
      </c>
      <c r="F77" s="6" t="s">
        <v>514</v>
      </c>
      <c r="G77" s="6" t="s">
        <v>515</v>
      </c>
      <c r="H77" s="6" t="s">
        <v>117</v>
      </c>
      <c r="I77" s="6" t="s">
        <v>516</v>
      </c>
      <c r="J77" s="7" t="n">
        <v>15.99</v>
      </c>
      <c r="K77" s="6" t="n">
        <v>4.7</v>
      </c>
      <c r="L77" s="8" t="n">
        <v>18</v>
      </c>
      <c r="M77" s="8" t="n">
        <v>3826</v>
      </c>
      <c r="N77" s="6" t="s">
        <v>119</v>
      </c>
      <c r="O77" s="6" t="n">
        <v>219</v>
      </c>
      <c r="P77" s="6" t="n">
        <v>4.6</v>
      </c>
      <c r="Q77" s="9" t="n">
        <v>46294</v>
      </c>
      <c r="R77" s="10" t="n">
        <f aca="false">IF(Q77="","",($W$2-Q77)/30.44)</f>
        <v>0.26281208935611</v>
      </c>
      <c r="S77" s="6" t="s">
        <v>185</v>
      </c>
      <c r="T77" s="6" t="s">
        <v>517</v>
      </c>
      <c r="U77" s="6" t="s">
        <v>518</v>
      </c>
    </row>
    <row r="78" customFormat="false" ht="15" hidden="false" customHeight="false" outlineLevel="0" collapsed="false">
      <c r="A78" s="6" t="str">
        <f aca="false">B78&amp;"|"&amp;D78</f>
        <v>Motivational|17</v>
      </c>
      <c r="B78" s="6" t="s">
        <v>52</v>
      </c>
      <c r="C78" s="6" t="s">
        <v>53</v>
      </c>
      <c r="D78" s="6" t="n">
        <v>17</v>
      </c>
      <c r="E78" s="6" t="s">
        <v>519</v>
      </c>
      <c r="F78" s="6" t="s">
        <v>520</v>
      </c>
      <c r="G78" s="6" t="s">
        <v>521</v>
      </c>
      <c r="H78" s="6" t="s">
        <v>117</v>
      </c>
      <c r="I78" s="6" t="s">
        <v>522</v>
      </c>
      <c r="J78" s="7" t="n">
        <v>7.99</v>
      </c>
      <c r="K78" s="6" t="n">
        <v>4.8</v>
      </c>
      <c r="L78" s="8" t="n">
        <v>49709</v>
      </c>
      <c r="M78" s="8" t="n">
        <v>4046</v>
      </c>
      <c r="N78" s="6" t="s">
        <v>119</v>
      </c>
      <c r="O78" s="6" t="n">
        <v>222</v>
      </c>
      <c r="P78" s="6" t="n">
        <v>4</v>
      </c>
      <c r="Q78" s="9" t="n">
        <v>39262</v>
      </c>
      <c r="R78" s="10" t="n">
        <f aca="false">IF(Q78="","",($W$2-Q78)/30.44)</f>
        <v>231.274638633377</v>
      </c>
      <c r="S78" s="6" t="s">
        <v>140</v>
      </c>
      <c r="T78" s="6" t="s">
        <v>523</v>
      </c>
      <c r="U78" s="6" t="s">
        <v>524</v>
      </c>
    </row>
    <row r="79" customFormat="false" ht="15" hidden="false" customHeight="false" outlineLevel="0" collapsed="false">
      <c r="A79" s="6" t="str">
        <f aca="false">B79&amp;"|"&amp;D79</f>
        <v>Motivational|18</v>
      </c>
      <c r="B79" s="6" t="s">
        <v>52</v>
      </c>
      <c r="C79" s="6" t="s">
        <v>53</v>
      </c>
      <c r="D79" s="6" t="n">
        <v>18</v>
      </c>
      <c r="E79" s="6" t="s">
        <v>525</v>
      </c>
      <c r="F79" s="6" t="s">
        <v>526</v>
      </c>
      <c r="G79" s="6" t="s">
        <v>527</v>
      </c>
      <c r="H79" s="6" t="s">
        <v>117</v>
      </c>
      <c r="I79" s="6" t="s">
        <v>528</v>
      </c>
      <c r="J79" s="7" t="n">
        <v>9.33</v>
      </c>
      <c r="K79" s="6" t="n">
        <v>4.7</v>
      </c>
      <c r="L79" s="8" t="n">
        <v>29120</v>
      </c>
      <c r="M79" s="8" t="n">
        <v>4165</v>
      </c>
      <c r="N79" s="6" t="s">
        <v>119</v>
      </c>
      <c r="O79" s="6" t="n">
        <v>238</v>
      </c>
      <c r="P79" s="6" t="n">
        <v>0.51</v>
      </c>
      <c r="Q79" s="9" t="n">
        <v>43980</v>
      </c>
      <c r="R79" s="10" t="n">
        <f aca="false">IF(Q79="","",($W$2-Q79)/30.44)</f>
        <v>76.281208935611</v>
      </c>
      <c r="S79" s="6" t="s">
        <v>253</v>
      </c>
      <c r="T79" s="6" t="s">
        <v>529</v>
      </c>
      <c r="U79" s="6" t="s">
        <v>530</v>
      </c>
    </row>
    <row r="80" customFormat="false" ht="15" hidden="false" customHeight="false" outlineLevel="0" collapsed="false">
      <c r="A80" s="6" t="str">
        <f aca="false">B80&amp;"|"&amp;D80</f>
        <v>Motivational|19</v>
      </c>
      <c r="B80" s="6" t="s">
        <v>52</v>
      </c>
      <c r="C80" s="6" t="s">
        <v>53</v>
      </c>
      <c r="D80" s="6" t="n">
        <v>19</v>
      </c>
      <c r="E80" s="6" t="s">
        <v>398</v>
      </c>
      <c r="F80" s="6" t="s">
        <v>399</v>
      </c>
      <c r="G80" s="6" t="s">
        <v>400</v>
      </c>
      <c r="H80" s="6" t="s">
        <v>117</v>
      </c>
      <c r="I80" s="6" t="s">
        <v>401</v>
      </c>
      <c r="J80" s="7" t="n">
        <v>4.99</v>
      </c>
      <c r="K80" s="6" t="n">
        <v>4.7</v>
      </c>
      <c r="L80" s="8" t="n">
        <v>52228</v>
      </c>
      <c r="M80" s="8" t="n">
        <v>4802</v>
      </c>
      <c r="N80" s="6" t="s">
        <v>119</v>
      </c>
      <c r="O80" s="6" t="n">
        <v>128</v>
      </c>
      <c r="P80" s="6" t="n">
        <v>1</v>
      </c>
      <c r="Q80" s="9" t="n">
        <v>42829</v>
      </c>
      <c r="R80" s="10" t="n">
        <f aca="false">IF(Q80="","",($W$2-Q80)/30.44)</f>
        <v>114.093298291721</v>
      </c>
      <c r="S80" s="6" t="s">
        <v>402</v>
      </c>
      <c r="T80" s="6" t="s">
        <v>403</v>
      </c>
      <c r="U80" s="6" t="s">
        <v>404</v>
      </c>
    </row>
    <row r="81" customFormat="false" ht="15" hidden="false" customHeight="false" outlineLevel="0" collapsed="false">
      <c r="A81" s="6" t="str">
        <f aca="false">B81&amp;"|"&amp;D81</f>
        <v>Motivational|20</v>
      </c>
      <c r="B81" s="6" t="s">
        <v>52</v>
      </c>
      <c r="C81" s="6" t="s">
        <v>53</v>
      </c>
      <c r="D81" s="6" t="n">
        <v>20</v>
      </c>
      <c r="E81" s="6" t="s">
        <v>531</v>
      </c>
      <c r="F81" s="6" t="s">
        <v>532</v>
      </c>
      <c r="G81" s="6" t="s">
        <v>533</v>
      </c>
      <c r="H81" s="6" t="s">
        <v>117</v>
      </c>
      <c r="I81" s="6" t="s">
        <v>534</v>
      </c>
      <c r="J81" s="7" t="n">
        <v>1.99</v>
      </c>
      <c r="K81" s="6" t="n">
        <v>4.5</v>
      </c>
      <c r="L81" s="8" t="n">
        <v>24020</v>
      </c>
      <c r="M81" s="8" t="n">
        <v>4854</v>
      </c>
      <c r="N81" s="6" t="s">
        <v>119</v>
      </c>
      <c r="O81" s="6" t="n">
        <v>288</v>
      </c>
      <c r="P81" s="6" t="n">
        <v>2.5</v>
      </c>
      <c r="Q81" s="9" t="n">
        <v>42269</v>
      </c>
      <c r="R81" s="10" t="n">
        <f aca="false">IF(Q81="","",($W$2-Q81)/30.44)</f>
        <v>132.490144546649</v>
      </c>
      <c r="S81" s="6" t="s">
        <v>140</v>
      </c>
      <c r="T81" s="6" t="s">
        <v>535</v>
      </c>
      <c r="U81" s="6" t="s">
        <v>536</v>
      </c>
    </row>
    <row r="82" customFormat="false" ht="15" hidden="false" customHeight="false" outlineLevel="0" collapsed="false">
      <c r="A82" s="6" t="str">
        <f aca="false">B82&amp;"|"&amp;D82</f>
        <v>Affirmations|1</v>
      </c>
      <c r="B82" s="6" t="s">
        <v>56</v>
      </c>
      <c r="C82" s="6" t="s">
        <v>57</v>
      </c>
      <c r="D82" s="6" t="n">
        <v>1</v>
      </c>
      <c r="E82" s="6" t="s">
        <v>398</v>
      </c>
      <c r="F82" s="6" t="s">
        <v>399</v>
      </c>
      <c r="G82" s="6" t="s">
        <v>400</v>
      </c>
      <c r="H82" s="6" t="s">
        <v>117</v>
      </c>
      <c r="I82" s="6" t="s">
        <v>401</v>
      </c>
      <c r="J82" s="7" t="n">
        <v>4.99</v>
      </c>
      <c r="K82" s="6" t="n">
        <v>4.7</v>
      </c>
      <c r="L82" s="8" t="n">
        <v>52228</v>
      </c>
      <c r="M82" s="8" t="n">
        <v>4802</v>
      </c>
      <c r="N82" s="6" t="s">
        <v>119</v>
      </c>
      <c r="O82" s="6" t="n">
        <v>128</v>
      </c>
      <c r="P82" s="6" t="n">
        <v>1</v>
      </c>
      <c r="Q82" s="9" t="n">
        <v>42829</v>
      </c>
      <c r="R82" s="10" t="n">
        <f aca="false">IF(Q82="","",($W$2-Q82)/30.44)</f>
        <v>114.093298291721</v>
      </c>
      <c r="S82" s="6" t="s">
        <v>402</v>
      </c>
      <c r="T82" s="6" t="s">
        <v>403</v>
      </c>
      <c r="U82" s="6" t="s">
        <v>404</v>
      </c>
    </row>
    <row r="83" customFormat="false" ht="15" hidden="false" customHeight="false" outlineLevel="0" collapsed="false">
      <c r="A83" s="6" t="str">
        <f aca="false">B83&amp;"|"&amp;D83</f>
        <v>Affirmations|2</v>
      </c>
      <c r="B83" s="6" t="s">
        <v>56</v>
      </c>
      <c r="C83" s="6" t="s">
        <v>57</v>
      </c>
      <c r="D83" s="6" t="n">
        <v>2</v>
      </c>
      <c r="E83" s="6" t="s">
        <v>405</v>
      </c>
      <c r="F83" s="6" t="s">
        <v>406</v>
      </c>
      <c r="G83" s="6" t="s">
        <v>407</v>
      </c>
      <c r="H83" s="6" t="s">
        <v>117</v>
      </c>
      <c r="I83" s="6" t="s">
        <v>408</v>
      </c>
      <c r="J83" s="7" t="n">
        <v>8.54</v>
      </c>
      <c r="K83" s="6" t="n">
        <v>4.7</v>
      </c>
      <c r="L83" s="8" t="n">
        <v>54881</v>
      </c>
      <c r="M83" s="8" t="n">
        <v>5349</v>
      </c>
      <c r="N83" s="6" t="s">
        <v>119</v>
      </c>
      <c r="O83" s="6" t="n">
        <v>256</v>
      </c>
      <c r="P83" s="6" t="n">
        <v>1.8</v>
      </c>
      <c r="Q83" s="9" t="n">
        <v>40457</v>
      </c>
      <c r="R83" s="10" t="n">
        <f aca="false">IF(Q83="","",($W$2-Q83)/30.44)</f>
        <v>192.017082785808</v>
      </c>
      <c r="S83" s="6" t="s">
        <v>140</v>
      </c>
      <c r="T83" s="6" t="s">
        <v>409</v>
      </c>
      <c r="U83" s="6" t="s">
        <v>410</v>
      </c>
    </row>
    <row r="84" customFormat="false" ht="15" hidden="false" customHeight="false" outlineLevel="0" collapsed="false">
      <c r="A84" s="6" t="str">
        <f aca="false">B84&amp;"|"&amp;D84</f>
        <v>Affirmations|3</v>
      </c>
      <c r="B84" s="6" t="s">
        <v>56</v>
      </c>
      <c r="C84" s="6" t="s">
        <v>57</v>
      </c>
      <c r="D84" s="6" t="n">
        <v>3</v>
      </c>
      <c r="E84" s="6" t="s">
        <v>282</v>
      </c>
      <c r="F84" s="6" t="s">
        <v>283</v>
      </c>
      <c r="G84" s="6" t="s">
        <v>217</v>
      </c>
      <c r="H84" s="6" t="s">
        <v>117</v>
      </c>
      <c r="I84" s="6" t="s">
        <v>284</v>
      </c>
      <c r="J84" s="7" t="n">
        <v>13.99</v>
      </c>
      <c r="K84" s="6" t="n">
        <v>4.6</v>
      </c>
      <c r="L84" s="8" t="n">
        <v>28900</v>
      </c>
      <c r="M84" s="8" t="n">
        <v>7307</v>
      </c>
      <c r="N84" s="6" t="s">
        <v>127</v>
      </c>
      <c r="O84" s="6" t="n">
        <v>218</v>
      </c>
      <c r="P84" s="6" t="n">
        <v>2.1</v>
      </c>
      <c r="Q84" s="9" t="n">
        <v>42948</v>
      </c>
      <c r="R84" s="10" t="n">
        <f aca="false">IF(Q84="","",($W$2-Q84)/30.44)</f>
        <v>110.183968462549</v>
      </c>
      <c r="S84" s="6" t="s">
        <v>140</v>
      </c>
      <c r="T84" s="6" t="s">
        <v>285</v>
      </c>
      <c r="U84" s="6" t="s">
        <v>286</v>
      </c>
    </row>
    <row r="85" customFormat="false" ht="15" hidden="false" customHeight="false" outlineLevel="0" collapsed="false">
      <c r="A85" s="6" t="str">
        <f aca="false">B85&amp;"|"&amp;D85</f>
        <v>Affirmations|4</v>
      </c>
      <c r="B85" s="6" t="s">
        <v>56</v>
      </c>
      <c r="C85" s="6" t="s">
        <v>57</v>
      </c>
      <c r="D85" s="6" t="n">
        <v>4</v>
      </c>
      <c r="E85" s="6" t="s">
        <v>537</v>
      </c>
      <c r="F85" s="6" t="s">
        <v>538</v>
      </c>
      <c r="G85" s="6" t="s">
        <v>539</v>
      </c>
      <c r="H85" s="6" t="s">
        <v>205</v>
      </c>
      <c r="I85" s="6" t="s">
        <v>540</v>
      </c>
      <c r="J85" s="7" t="n">
        <v>4.99</v>
      </c>
      <c r="K85" s="6"/>
      <c r="L85" s="8"/>
      <c r="M85" s="8" t="n">
        <v>14682</v>
      </c>
      <c r="N85" s="6" t="s">
        <v>127</v>
      </c>
      <c r="O85" s="6" t="n">
        <v>126</v>
      </c>
      <c r="P85" s="6" t="n">
        <v>0.64</v>
      </c>
      <c r="Q85" s="9" t="n">
        <v>46297</v>
      </c>
      <c r="R85" s="10" t="n">
        <f aca="false">IF(Q85="","",($W$2-Q85)/30.44)</f>
        <v>0.164257555847569</v>
      </c>
      <c r="S85" s="6" t="s">
        <v>135</v>
      </c>
      <c r="T85" s="6" t="s">
        <v>541</v>
      </c>
      <c r="U85" s="6" t="s">
        <v>542</v>
      </c>
    </row>
    <row r="86" customFormat="false" ht="15" hidden="false" customHeight="false" outlineLevel="0" collapsed="false">
      <c r="A86" s="6" t="str">
        <f aca="false">B86&amp;"|"&amp;D86</f>
        <v>Affirmations|5</v>
      </c>
      <c r="B86" s="6" t="s">
        <v>56</v>
      </c>
      <c r="C86" s="6" t="s">
        <v>57</v>
      </c>
      <c r="D86" s="6" t="n">
        <v>5</v>
      </c>
      <c r="E86" s="6" t="s">
        <v>543</v>
      </c>
      <c r="F86" s="6" t="s">
        <v>544</v>
      </c>
      <c r="G86" s="6" t="s">
        <v>545</v>
      </c>
      <c r="H86" s="6" t="s">
        <v>117</v>
      </c>
      <c r="I86" s="6" t="s">
        <v>546</v>
      </c>
      <c r="J86" s="7" t="n">
        <v>0.99</v>
      </c>
      <c r="K86" s="6" t="n">
        <v>4.4</v>
      </c>
      <c r="L86" s="8" t="n">
        <v>278</v>
      </c>
      <c r="M86" s="8" t="n">
        <v>21441</v>
      </c>
      <c r="N86" s="6" t="s">
        <v>119</v>
      </c>
      <c r="O86" s="6" t="n">
        <v>378</v>
      </c>
      <c r="P86" s="6" t="n">
        <v>2.1</v>
      </c>
      <c r="Q86" s="9" t="n">
        <v>42278</v>
      </c>
      <c r="R86" s="10" t="n">
        <f aca="false">IF(Q86="","",($W$2-Q86)/30.44)</f>
        <v>132.194480946124</v>
      </c>
      <c r="S86" s="6" t="s">
        <v>253</v>
      </c>
      <c r="T86" s="6" t="s">
        <v>547</v>
      </c>
      <c r="U86" s="6" t="s">
        <v>548</v>
      </c>
    </row>
    <row r="87" customFormat="false" ht="15" hidden="false" customHeight="false" outlineLevel="0" collapsed="false">
      <c r="A87" s="6" t="str">
        <f aca="false">B87&amp;"|"&amp;D87</f>
        <v>Affirmations|6</v>
      </c>
      <c r="B87" s="6" t="s">
        <v>56</v>
      </c>
      <c r="C87" s="6" t="s">
        <v>57</v>
      </c>
      <c r="D87" s="6" t="n">
        <v>6</v>
      </c>
      <c r="E87" s="6" t="s">
        <v>549</v>
      </c>
      <c r="F87" s="6" t="s">
        <v>169</v>
      </c>
      <c r="G87" s="6" t="s">
        <v>550</v>
      </c>
      <c r="H87" s="6" t="s">
        <v>171</v>
      </c>
      <c r="I87" s="6" t="s">
        <v>551</v>
      </c>
      <c r="J87" s="7" t="n">
        <v>0.51</v>
      </c>
      <c r="K87" s="6" t="n">
        <v>4.8</v>
      </c>
      <c r="L87" s="8" t="n">
        <v>7061</v>
      </c>
      <c r="M87" s="8" t="n">
        <v>24223</v>
      </c>
      <c r="N87" s="6" t="s">
        <v>119</v>
      </c>
      <c r="O87" s="6" t="n">
        <v>197</v>
      </c>
      <c r="P87" s="6" t="n">
        <v>0.55</v>
      </c>
      <c r="Q87" s="9" t="n">
        <v>46030</v>
      </c>
      <c r="R87" s="10" t="n">
        <f aca="false">IF(Q87="","",($W$2-Q87)/30.44)</f>
        <v>8.93561103810775</v>
      </c>
      <c r="S87" s="6" t="s">
        <v>140</v>
      </c>
      <c r="T87" s="6" t="s">
        <v>552</v>
      </c>
      <c r="U87" s="6" t="s">
        <v>553</v>
      </c>
    </row>
    <row r="88" customFormat="false" ht="15" hidden="false" customHeight="false" outlineLevel="0" collapsed="false">
      <c r="A88" s="6" t="str">
        <f aca="false">B88&amp;"|"&amp;D88</f>
        <v>Affirmations|7</v>
      </c>
      <c r="B88" s="6" t="s">
        <v>56</v>
      </c>
      <c r="C88" s="6" t="s">
        <v>57</v>
      </c>
      <c r="D88" s="6" t="n">
        <v>7</v>
      </c>
      <c r="E88" s="6" t="s">
        <v>554</v>
      </c>
      <c r="F88" s="6" t="s">
        <v>555</v>
      </c>
      <c r="G88" s="6" t="s">
        <v>450</v>
      </c>
      <c r="H88" s="6" t="s">
        <v>117</v>
      </c>
      <c r="I88" s="6" t="s">
        <v>556</v>
      </c>
      <c r="J88" s="7" t="n">
        <v>13.99</v>
      </c>
      <c r="K88" s="6" t="n">
        <v>4.6</v>
      </c>
      <c r="L88" s="8" t="n">
        <v>7281</v>
      </c>
      <c r="M88" s="8" t="n">
        <v>25438</v>
      </c>
      <c r="N88" s="6" t="s">
        <v>119</v>
      </c>
      <c r="O88" s="6" t="n">
        <v>320</v>
      </c>
      <c r="P88" s="6" t="n">
        <v>2.1</v>
      </c>
      <c r="Q88" s="9" t="n">
        <v>40652</v>
      </c>
      <c r="R88" s="10" t="n">
        <f aca="false">IF(Q88="","",($W$2-Q88)/30.44)</f>
        <v>185.611038107753</v>
      </c>
      <c r="S88" s="6" t="s">
        <v>140</v>
      </c>
      <c r="T88" s="6" t="s">
        <v>557</v>
      </c>
      <c r="U88" s="6" t="s">
        <v>558</v>
      </c>
    </row>
    <row r="89" customFormat="false" ht="15" hidden="false" customHeight="false" outlineLevel="0" collapsed="false">
      <c r="A89" s="6" t="str">
        <f aca="false">B89&amp;"|"&amp;D89</f>
        <v>Affirmations|8</v>
      </c>
      <c r="B89" s="6" t="s">
        <v>56</v>
      </c>
      <c r="C89" s="6" t="s">
        <v>57</v>
      </c>
      <c r="D89" s="6" t="n">
        <v>8</v>
      </c>
      <c r="E89" s="6" t="s">
        <v>559</v>
      </c>
      <c r="F89" s="6" t="s">
        <v>560</v>
      </c>
      <c r="G89" s="6" t="s">
        <v>151</v>
      </c>
      <c r="H89" s="6" t="s">
        <v>152</v>
      </c>
      <c r="I89" s="6" t="s">
        <v>561</v>
      </c>
      <c r="J89" s="7" t="n">
        <v>7.88</v>
      </c>
      <c r="K89" s="6" t="n">
        <v>4.4</v>
      </c>
      <c r="L89" s="8" t="n">
        <v>448</v>
      </c>
      <c r="M89" s="8" t="n">
        <v>27484</v>
      </c>
      <c r="N89" s="6" t="s">
        <v>127</v>
      </c>
      <c r="O89" s="6" t="n">
        <v>84</v>
      </c>
      <c r="P89" s="6" t="n">
        <v>0.55</v>
      </c>
      <c r="Q89" s="9" t="n">
        <v>45851</v>
      </c>
      <c r="R89" s="10" t="n">
        <f aca="false">IF(Q89="","",($W$2-Q89)/30.44)</f>
        <v>14.8160315374507</v>
      </c>
      <c r="S89" s="6" t="s">
        <v>378</v>
      </c>
      <c r="T89" s="6" t="s">
        <v>562</v>
      </c>
      <c r="U89" s="6" t="s">
        <v>563</v>
      </c>
    </row>
    <row r="90" customFormat="false" ht="15" hidden="false" customHeight="false" outlineLevel="0" collapsed="false">
      <c r="A90" s="6" t="str">
        <f aca="false">B90&amp;"|"&amp;D90</f>
        <v>Affirmations|9</v>
      </c>
      <c r="B90" s="6" t="s">
        <v>56</v>
      </c>
      <c r="C90" s="6" t="s">
        <v>57</v>
      </c>
      <c r="D90" s="6" t="n">
        <v>9</v>
      </c>
      <c r="E90" s="6" t="s">
        <v>564</v>
      </c>
      <c r="F90" s="6" t="s">
        <v>565</v>
      </c>
      <c r="G90" s="6" t="s">
        <v>566</v>
      </c>
      <c r="H90" s="6" t="s">
        <v>117</v>
      </c>
      <c r="I90" s="6" t="s">
        <v>567</v>
      </c>
      <c r="J90" s="7" t="n">
        <v>2.99</v>
      </c>
      <c r="K90" s="6" t="n">
        <v>4.8</v>
      </c>
      <c r="L90" s="8" t="n">
        <v>1029</v>
      </c>
      <c r="M90" s="8" t="n">
        <v>30708</v>
      </c>
      <c r="N90" s="6" t="s">
        <v>119</v>
      </c>
      <c r="O90" s="6" t="n">
        <v>177</v>
      </c>
      <c r="P90" s="6" t="n">
        <v>2.7</v>
      </c>
      <c r="Q90" s="9" t="n">
        <v>41443</v>
      </c>
      <c r="R90" s="10" t="n">
        <f aca="false">IF(Q90="","",($W$2-Q90)/30.44)</f>
        <v>159.625492772668</v>
      </c>
      <c r="S90" s="6" t="s">
        <v>146</v>
      </c>
      <c r="T90" s="6" t="s">
        <v>568</v>
      </c>
      <c r="U90" s="6" t="s">
        <v>569</v>
      </c>
    </row>
    <row r="91" customFormat="false" ht="15" hidden="false" customHeight="false" outlineLevel="0" collapsed="false">
      <c r="A91" s="6" t="str">
        <f aca="false">B91&amp;"|"&amp;D91</f>
        <v>Affirmations|10</v>
      </c>
      <c r="B91" s="6" t="s">
        <v>56</v>
      </c>
      <c r="C91" s="6" t="s">
        <v>57</v>
      </c>
      <c r="D91" s="6" t="n">
        <v>10</v>
      </c>
      <c r="E91" s="6" t="s">
        <v>570</v>
      </c>
      <c r="F91" s="6" t="s">
        <v>169</v>
      </c>
      <c r="G91" s="6" t="s">
        <v>571</v>
      </c>
      <c r="H91" s="6" t="s">
        <v>171</v>
      </c>
      <c r="I91" s="6" t="s">
        <v>572</v>
      </c>
      <c r="J91" s="7" t="n">
        <v>0.25</v>
      </c>
      <c r="K91" s="6" t="n">
        <v>4.6</v>
      </c>
      <c r="L91" s="8" t="n">
        <v>814</v>
      </c>
      <c r="M91" s="8" t="n">
        <v>34201</v>
      </c>
      <c r="N91" s="6" t="s">
        <v>119</v>
      </c>
      <c r="O91" s="6" t="n">
        <v>52</v>
      </c>
      <c r="P91" s="6" t="n">
        <v>0.62</v>
      </c>
      <c r="Q91" s="9" t="n">
        <v>44199</v>
      </c>
      <c r="R91" s="10" t="n">
        <f aca="false">IF(Q91="","",($W$2-Q91)/30.44)</f>
        <v>69.0867279894875</v>
      </c>
      <c r="S91" s="6" t="s">
        <v>140</v>
      </c>
      <c r="T91" s="6" t="s">
        <v>573</v>
      </c>
      <c r="U91" s="6" t="s">
        <v>574</v>
      </c>
    </row>
    <row r="92" customFormat="false" ht="15" hidden="false" customHeight="false" outlineLevel="0" collapsed="false">
      <c r="A92" s="6" t="str">
        <f aca="false">B92&amp;"|"&amp;D92</f>
        <v>Affirmations|11</v>
      </c>
      <c r="B92" s="6" t="s">
        <v>56</v>
      </c>
      <c r="C92" s="6" t="s">
        <v>57</v>
      </c>
      <c r="D92" s="6" t="n">
        <v>11</v>
      </c>
      <c r="E92" s="6" t="s">
        <v>575</v>
      </c>
      <c r="F92" s="6" t="s">
        <v>576</v>
      </c>
      <c r="G92" s="6" t="s">
        <v>577</v>
      </c>
      <c r="H92" s="6" t="s">
        <v>117</v>
      </c>
      <c r="I92" s="6" t="s">
        <v>578</v>
      </c>
      <c r="J92" s="7" t="n">
        <v>1.99</v>
      </c>
      <c r="K92" s="6" t="n">
        <v>4.7</v>
      </c>
      <c r="L92" s="8" t="n">
        <v>1488</v>
      </c>
      <c r="M92" s="8" t="n">
        <v>35280</v>
      </c>
      <c r="N92" s="6" t="s">
        <v>119</v>
      </c>
      <c r="O92" s="6" t="n">
        <v>125</v>
      </c>
      <c r="P92" s="6" t="n">
        <v>56.5</v>
      </c>
      <c r="Q92" s="9" t="n">
        <v>45545</v>
      </c>
      <c r="R92" s="10" t="n">
        <f aca="false">IF(Q92="","",($W$2-Q92)/30.44)</f>
        <v>24.8685939553219</v>
      </c>
      <c r="S92" s="6" t="s">
        <v>185</v>
      </c>
      <c r="T92" s="6" t="s">
        <v>579</v>
      </c>
      <c r="U92" s="6" t="s">
        <v>580</v>
      </c>
    </row>
    <row r="93" customFormat="false" ht="15" hidden="false" customHeight="false" outlineLevel="0" collapsed="false">
      <c r="A93" s="6" t="str">
        <f aca="false">B93&amp;"|"&amp;D93</f>
        <v>Affirmations|12</v>
      </c>
      <c r="B93" s="6" t="s">
        <v>56</v>
      </c>
      <c r="C93" s="6" t="s">
        <v>57</v>
      </c>
      <c r="D93" s="6" t="n">
        <v>12</v>
      </c>
      <c r="E93" s="6" t="s">
        <v>581</v>
      </c>
      <c r="F93" s="6" t="s">
        <v>582</v>
      </c>
      <c r="G93" s="6" t="s">
        <v>545</v>
      </c>
      <c r="H93" s="6" t="s">
        <v>117</v>
      </c>
      <c r="I93" s="6" t="s">
        <v>583</v>
      </c>
      <c r="J93" s="7" t="n">
        <v>0.99</v>
      </c>
      <c r="K93" s="6" t="n">
        <v>4.8</v>
      </c>
      <c r="L93" s="8" t="n">
        <v>632</v>
      </c>
      <c r="M93" s="8" t="n">
        <v>41032</v>
      </c>
      <c r="N93" s="6" t="s">
        <v>119</v>
      </c>
      <c r="O93" s="6" t="n">
        <v>205</v>
      </c>
      <c r="P93" s="6" t="n">
        <v>3.9</v>
      </c>
      <c r="Q93" s="9" t="n">
        <v>43435</v>
      </c>
      <c r="R93" s="10" t="n">
        <f aca="false">IF(Q93="","",($W$2-Q93)/30.44)</f>
        <v>94.1852825229961</v>
      </c>
      <c r="S93" s="6" t="s">
        <v>253</v>
      </c>
      <c r="T93" s="6" t="s">
        <v>584</v>
      </c>
      <c r="U93" s="6" t="s">
        <v>585</v>
      </c>
    </row>
    <row r="94" customFormat="false" ht="15" hidden="false" customHeight="false" outlineLevel="0" collapsed="false">
      <c r="A94" s="6" t="str">
        <f aca="false">B94&amp;"|"&amp;D94</f>
        <v>Affirmations|13</v>
      </c>
      <c r="B94" s="6" t="s">
        <v>56</v>
      </c>
      <c r="C94" s="6" t="s">
        <v>57</v>
      </c>
      <c r="D94" s="6" t="n">
        <v>13</v>
      </c>
      <c r="E94" s="6" t="s">
        <v>586</v>
      </c>
      <c r="F94" s="6" t="s">
        <v>587</v>
      </c>
      <c r="G94" s="6" t="s">
        <v>588</v>
      </c>
      <c r="H94" s="6" t="s">
        <v>117</v>
      </c>
      <c r="I94" s="6" t="s">
        <v>589</v>
      </c>
      <c r="J94" s="7" t="n">
        <v>3.99</v>
      </c>
      <c r="K94" s="6" t="n">
        <v>4.8</v>
      </c>
      <c r="L94" s="8" t="n">
        <v>1489</v>
      </c>
      <c r="M94" s="8" t="n">
        <v>45787</v>
      </c>
      <c r="N94" s="6" t="s">
        <v>127</v>
      </c>
      <c r="O94" s="6" t="n">
        <v>186</v>
      </c>
      <c r="P94" s="6" t="n">
        <v>4.2</v>
      </c>
      <c r="Q94" s="9" t="n">
        <v>41221</v>
      </c>
      <c r="R94" s="10" t="n">
        <f aca="false">IF(Q94="","",($W$2-Q94)/30.44)</f>
        <v>166.9185282523</v>
      </c>
      <c r="S94" s="6" t="s">
        <v>165</v>
      </c>
      <c r="T94" s="6" t="s">
        <v>590</v>
      </c>
      <c r="U94" s="6" t="s">
        <v>591</v>
      </c>
    </row>
    <row r="95" customFormat="false" ht="15" hidden="false" customHeight="false" outlineLevel="0" collapsed="false">
      <c r="A95" s="6" t="str">
        <f aca="false">B95&amp;"|"&amp;D95</f>
        <v>Affirmations|14</v>
      </c>
      <c r="B95" s="6" t="s">
        <v>56</v>
      </c>
      <c r="C95" s="6" t="s">
        <v>57</v>
      </c>
      <c r="D95" s="6" t="n">
        <v>14</v>
      </c>
      <c r="E95" s="6" t="s">
        <v>592</v>
      </c>
      <c r="F95" s="6" t="s">
        <v>406</v>
      </c>
      <c r="G95" s="6" t="s">
        <v>407</v>
      </c>
      <c r="H95" s="6" t="s">
        <v>117</v>
      </c>
      <c r="I95" s="6" t="s">
        <v>593</v>
      </c>
      <c r="J95" s="7" t="n">
        <v>9.03</v>
      </c>
      <c r="K95" s="6" t="n">
        <v>4.7</v>
      </c>
      <c r="L95" s="8" t="n">
        <v>18271</v>
      </c>
      <c r="M95" s="8" t="n">
        <v>55618</v>
      </c>
      <c r="N95" s="6" t="s">
        <v>119</v>
      </c>
      <c r="O95" s="6" t="n">
        <v>131</v>
      </c>
      <c r="P95" s="6" t="n">
        <v>3.2</v>
      </c>
      <c r="Q95" s="9" t="n">
        <v>40445</v>
      </c>
      <c r="R95" s="10" t="n">
        <f aca="false">IF(Q95="","",($W$2-Q95)/30.44)</f>
        <v>192.411300919842</v>
      </c>
      <c r="S95" s="6" t="s">
        <v>165</v>
      </c>
      <c r="T95" s="6" t="s">
        <v>594</v>
      </c>
      <c r="U95" s="6" t="s">
        <v>595</v>
      </c>
    </row>
    <row r="96" customFormat="false" ht="15" hidden="false" customHeight="false" outlineLevel="0" collapsed="false">
      <c r="A96" s="6" t="str">
        <f aca="false">B96&amp;"|"&amp;D96</f>
        <v>Affirmations|15</v>
      </c>
      <c r="B96" s="6" t="s">
        <v>56</v>
      </c>
      <c r="C96" s="6" t="s">
        <v>57</v>
      </c>
      <c r="D96" s="6" t="n">
        <v>15</v>
      </c>
      <c r="E96" s="6" t="s">
        <v>596</v>
      </c>
      <c r="F96" s="6" t="s">
        <v>597</v>
      </c>
      <c r="G96" s="6" t="s">
        <v>400</v>
      </c>
      <c r="H96" s="6" t="s">
        <v>117</v>
      </c>
      <c r="I96" s="6" t="s">
        <v>598</v>
      </c>
      <c r="J96" s="7" t="n">
        <v>12.99</v>
      </c>
      <c r="K96" s="6" t="n">
        <v>4.8</v>
      </c>
      <c r="L96" s="8" t="n">
        <v>4348</v>
      </c>
      <c r="M96" s="8" t="n">
        <v>63153</v>
      </c>
      <c r="N96" s="6" t="s">
        <v>119</v>
      </c>
      <c r="O96" s="6" t="n">
        <v>177</v>
      </c>
      <c r="P96" s="6" t="n">
        <v>0.74</v>
      </c>
      <c r="Q96" s="9" t="n">
        <v>44299</v>
      </c>
      <c r="R96" s="10" t="n">
        <f aca="false">IF(Q96="","",($W$2-Q96)/30.44)</f>
        <v>65.8015768725361</v>
      </c>
      <c r="S96" s="6" t="s">
        <v>146</v>
      </c>
      <c r="T96" s="6" t="s">
        <v>599</v>
      </c>
      <c r="U96" s="6" t="s">
        <v>600</v>
      </c>
    </row>
    <row r="97" customFormat="false" ht="15" hidden="false" customHeight="false" outlineLevel="0" collapsed="false">
      <c r="A97" s="6" t="str">
        <f aca="false">B97&amp;"|"&amp;D97</f>
        <v>Affirmations|16</v>
      </c>
      <c r="B97" s="6" t="s">
        <v>56</v>
      </c>
      <c r="C97" s="6" t="s">
        <v>57</v>
      </c>
      <c r="D97" s="6" t="n">
        <v>16</v>
      </c>
      <c r="E97" s="6" t="s">
        <v>601</v>
      </c>
      <c r="F97" s="6" t="s">
        <v>602</v>
      </c>
      <c r="G97" s="6" t="s">
        <v>331</v>
      </c>
      <c r="H97" s="6" t="s">
        <v>117</v>
      </c>
      <c r="I97" s="6" t="s">
        <v>603</v>
      </c>
      <c r="J97" s="7" t="n">
        <v>10.99</v>
      </c>
      <c r="K97" s="6" t="n">
        <v>4.7</v>
      </c>
      <c r="L97" s="8" t="n">
        <v>23352</v>
      </c>
      <c r="M97" s="8" t="n">
        <v>64715</v>
      </c>
      <c r="N97" s="6" t="s">
        <v>119</v>
      </c>
      <c r="O97" s="6" t="n">
        <v>235</v>
      </c>
      <c r="P97" s="6" t="n">
        <v>2.5</v>
      </c>
      <c r="Q97" s="9" t="n">
        <v>34765</v>
      </c>
      <c r="R97" s="10" t="n">
        <f aca="false">IF(Q97="","",($W$2-Q97)/30.44)</f>
        <v>379.007884362681</v>
      </c>
      <c r="S97" s="6" t="s">
        <v>140</v>
      </c>
      <c r="T97" s="6" t="s">
        <v>604</v>
      </c>
      <c r="U97" s="6" t="s">
        <v>605</v>
      </c>
    </row>
    <row r="98" customFormat="false" ht="15" hidden="false" customHeight="false" outlineLevel="0" collapsed="false">
      <c r="A98" s="6" t="str">
        <f aca="false">B98&amp;"|"&amp;D98</f>
        <v>Affirmations|17</v>
      </c>
      <c r="B98" s="6" t="s">
        <v>56</v>
      </c>
      <c r="C98" s="6" t="s">
        <v>57</v>
      </c>
      <c r="D98" s="6" t="n">
        <v>17</v>
      </c>
      <c r="E98" s="6" t="s">
        <v>606</v>
      </c>
      <c r="F98" s="6" t="s">
        <v>607</v>
      </c>
      <c r="G98" s="6" t="s">
        <v>608</v>
      </c>
      <c r="H98" s="6" t="s">
        <v>171</v>
      </c>
      <c r="I98" s="6" t="s">
        <v>609</v>
      </c>
      <c r="J98" s="7" t="n">
        <v>0.99</v>
      </c>
      <c r="K98" s="6" t="n">
        <v>4.7</v>
      </c>
      <c r="L98" s="8" t="n">
        <v>150</v>
      </c>
      <c r="M98" s="8" t="n">
        <v>65559</v>
      </c>
      <c r="N98" s="6" t="s">
        <v>119</v>
      </c>
      <c r="O98" s="6" t="n">
        <v>102</v>
      </c>
      <c r="P98" s="6" t="n">
        <v>2.3</v>
      </c>
      <c r="Q98" s="9" t="n">
        <v>45855</v>
      </c>
      <c r="R98" s="10" t="n">
        <f aca="false">IF(Q98="","",($W$2-Q98)/30.44)</f>
        <v>14.6846254927727</v>
      </c>
      <c r="S98" s="6" t="s">
        <v>378</v>
      </c>
      <c r="T98" s="6" t="s">
        <v>610</v>
      </c>
      <c r="U98" s="6" t="s">
        <v>611</v>
      </c>
    </row>
    <row r="99" customFormat="false" ht="15" hidden="false" customHeight="false" outlineLevel="0" collapsed="false">
      <c r="A99" s="6" t="str">
        <f aca="false">B99&amp;"|"&amp;D99</f>
        <v>Affirmations|18</v>
      </c>
      <c r="B99" s="6" t="s">
        <v>56</v>
      </c>
      <c r="C99" s="6" t="s">
        <v>57</v>
      </c>
      <c r="D99" s="6" t="n">
        <v>18</v>
      </c>
      <c r="E99" s="6" t="s">
        <v>612</v>
      </c>
      <c r="F99" s="6" t="s">
        <v>169</v>
      </c>
      <c r="G99" s="6" t="s">
        <v>151</v>
      </c>
      <c r="H99" s="6" t="s">
        <v>613</v>
      </c>
      <c r="I99" s="6" t="s">
        <v>614</v>
      </c>
      <c r="J99" s="7" t="n">
        <v>1.99</v>
      </c>
      <c r="K99" s="6" t="n">
        <v>4.6</v>
      </c>
      <c r="L99" s="8" t="n">
        <v>8619</v>
      </c>
      <c r="M99" s="8" t="n">
        <v>241864</v>
      </c>
      <c r="N99" s="6" t="s">
        <v>127</v>
      </c>
      <c r="O99" s="6" t="n">
        <v>133</v>
      </c>
      <c r="P99" s="6" t="n">
        <v>2.4</v>
      </c>
      <c r="Q99" s="9" t="n">
        <v>45771</v>
      </c>
      <c r="R99" s="10" t="n">
        <f aca="false">IF(Q99="","",($W$2-Q99)/30.44)</f>
        <v>17.4441524310118</v>
      </c>
      <c r="S99" s="6" t="s">
        <v>140</v>
      </c>
      <c r="T99" s="6" t="s">
        <v>615</v>
      </c>
      <c r="U99" s="6" t="s">
        <v>616</v>
      </c>
    </row>
    <row r="100" customFormat="false" ht="15" hidden="false" customHeight="false" outlineLevel="0" collapsed="false">
      <c r="A100" s="6" t="str">
        <f aca="false">B100&amp;"|"&amp;D100</f>
        <v>Affirmations|19</v>
      </c>
      <c r="B100" s="6" t="s">
        <v>56</v>
      </c>
      <c r="C100" s="6" t="s">
        <v>57</v>
      </c>
      <c r="D100" s="6" t="n">
        <v>19</v>
      </c>
      <c r="E100" s="6" t="s">
        <v>617</v>
      </c>
      <c r="F100" s="6" t="s">
        <v>315</v>
      </c>
      <c r="G100" s="6" t="s">
        <v>125</v>
      </c>
      <c r="H100" s="6" t="s">
        <v>117</v>
      </c>
      <c r="I100" s="6" t="s">
        <v>618</v>
      </c>
      <c r="J100" s="7" t="n">
        <v>12.99</v>
      </c>
      <c r="K100" s="6" t="n">
        <v>4.8</v>
      </c>
      <c r="L100" s="8" t="n">
        <v>614</v>
      </c>
      <c r="M100" s="8" t="n">
        <v>71968</v>
      </c>
      <c r="N100" s="6" t="s">
        <v>127</v>
      </c>
      <c r="O100" s="6" t="n">
        <v>221</v>
      </c>
      <c r="P100" s="6" t="n">
        <v>4.4</v>
      </c>
      <c r="Q100" s="9" t="n">
        <v>45307</v>
      </c>
      <c r="R100" s="10" t="n">
        <f aca="false">IF(Q100="","",($W$2-Q100)/30.44)</f>
        <v>32.6872536136662</v>
      </c>
      <c r="S100" s="6" t="s">
        <v>253</v>
      </c>
      <c r="T100" s="6" t="s">
        <v>619</v>
      </c>
      <c r="U100" s="6" t="s">
        <v>620</v>
      </c>
    </row>
    <row r="101" customFormat="false" ht="15" hidden="false" customHeight="false" outlineLevel="0" collapsed="false">
      <c r="A101" s="6" t="str">
        <f aca="false">B101&amp;"|"&amp;D101</f>
        <v>Affirmations|20</v>
      </c>
      <c r="B101" s="6" t="s">
        <v>56</v>
      </c>
      <c r="C101" s="6" t="s">
        <v>57</v>
      </c>
      <c r="D101" s="6" t="n">
        <v>20</v>
      </c>
      <c r="E101" s="6" t="s">
        <v>621</v>
      </c>
      <c r="F101" s="6" t="s">
        <v>283</v>
      </c>
      <c r="G101" s="6" t="s">
        <v>217</v>
      </c>
      <c r="H101" s="6" t="s">
        <v>117</v>
      </c>
      <c r="I101" s="6" t="s">
        <v>622</v>
      </c>
      <c r="J101" s="7" t="n">
        <v>14.99</v>
      </c>
      <c r="K101" s="6" t="n">
        <v>4.7</v>
      </c>
      <c r="L101" s="8" t="n">
        <v>3344</v>
      </c>
      <c r="M101" s="8" t="n">
        <v>75119</v>
      </c>
      <c r="N101" s="6" t="s">
        <v>127</v>
      </c>
      <c r="O101" s="6" t="n">
        <v>231</v>
      </c>
      <c r="P101" s="6" t="n">
        <v>3.3</v>
      </c>
      <c r="Q101" s="9" t="n">
        <v>43592</v>
      </c>
      <c r="R101" s="10" t="n">
        <f aca="false">IF(Q101="","",($W$2-Q101)/30.44)</f>
        <v>89.0275952693824</v>
      </c>
      <c r="S101" s="6" t="s">
        <v>140</v>
      </c>
      <c r="T101" s="6" t="s">
        <v>623</v>
      </c>
      <c r="U101" s="6" t="s">
        <v>624</v>
      </c>
    </row>
    <row r="102" customFormat="false" ht="15" hidden="false" customHeight="false" outlineLevel="0" collapsed="false">
      <c r="A102" s="6" t="str">
        <f aca="false">B102&amp;"|"&amp;D102</f>
        <v>Journaling|1</v>
      </c>
      <c r="B102" s="6" t="s">
        <v>59</v>
      </c>
      <c r="C102" s="6" t="s">
        <v>60</v>
      </c>
      <c r="D102" s="6" t="n">
        <v>1</v>
      </c>
      <c r="E102" s="6" t="s">
        <v>490</v>
      </c>
      <c r="F102" s="6" t="s">
        <v>491</v>
      </c>
      <c r="G102" s="6" t="s">
        <v>492</v>
      </c>
      <c r="H102" s="6" t="s">
        <v>117</v>
      </c>
      <c r="I102" s="6" t="s">
        <v>493</v>
      </c>
      <c r="J102" s="7" t="n">
        <v>1.99</v>
      </c>
      <c r="K102" s="6" t="n">
        <v>4.6</v>
      </c>
      <c r="L102" s="8" t="n">
        <v>396</v>
      </c>
      <c r="M102" s="8" t="n">
        <v>2468</v>
      </c>
      <c r="N102" s="6" t="s">
        <v>119</v>
      </c>
      <c r="O102" s="6" t="n">
        <v>167</v>
      </c>
      <c r="P102" s="6" t="n">
        <v>0.91</v>
      </c>
      <c r="Q102" s="9" t="n">
        <v>45972</v>
      </c>
      <c r="R102" s="10" t="n">
        <f aca="false">IF(Q102="","",($W$2-Q102)/30.44)</f>
        <v>10.8409986859396</v>
      </c>
      <c r="S102" s="6" t="s">
        <v>185</v>
      </c>
      <c r="T102" s="6" t="s">
        <v>494</v>
      </c>
      <c r="U102" s="6" t="s">
        <v>495</v>
      </c>
    </row>
    <row r="103" customFormat="false" ht="15" hidden="false" customHeight="false" outlineLevel="0" collapsed="false">
      <c r="A103" s="6" t="str">
        <f aca="false">B103&amp;"|"&amp;D103</f>
        <v>Journaling|2</v>
      </c>
      <c r="B103" s="6" t="s">
        <v>59</v>
      </c>
      <c r="C103" s="6" t="s">
        <v>60</v>
      </c>
      <c r="D103" s="6" t="n">
        <v>2</v>
      </c>
      <c r="E103" s="6" t="s">
        <v>625</v>
      </c>
      <c r="F103" s="6" t="s">
        <v>626</v>
      </c>
      <c r="G103" s="6" t="s">
        <v>627</v>
      </c>
      <c r="H103" s="6" t="s">
        <v>117</v>
      </c>
      <c r="I103" s="6" t="s">
        <v>628</v>
      </c>
      <c r="J103" s="7" t="n">
        <v>12.99</v>
      </c>
      <c r="K103" s="6" t="n">
        <v>4.8</v>
      </c>
      <c r="L103" s="8" t="n">
        <v>997</v>
      </c>
      <c r="M103" s="8" t="n">
        <v>15771</v>
      </c>
      <c r="N103" s="6" t="s">
        <v>119</v>
      </c>
      <c r="O103" s="6" t="n">
        <v>315</v>
      </c>
      <c r="P103" s="6" t="n">
        <v>4.5</v>
      </c>
      <c r="Q103" s="9" t="n">
        <v>45769</v>
      </c>
      <c r="R103" s="10" t="n">
        <f aca="false">IF(Q103="","",($W$2-Q103)/30.44)</f>
        <v>17.5098554533509</v>
      </c>
      <c r="S103" s="6" t="s">
        <v>185</v>
      </c>
      <c r="T103" s="6" t="s">
        <v>629</v>
      </c>
      <c r="U103" s="6" t="s">
        <v>630</v>
      </c>
    </row>
    <row r="104" customFormat="false" ht="15" hidden="false" customHeight="false" outlineLevel="0" collapsed="false">
      <c r="A104" s="6" t="str">
        <f aca="false">B104&amp;"|"&amp;D104</f>
        <v>Journaling|3</v>
      </c>
      <c r="B104" s="6" t="s">
        <v>59</v>
      </c>
      <c r="C104" s="6" t="s">
        <v>60</v>
      </c>
      <c r="D104" s="6" t="n">
        <v>3</v>
      </c>
      <c r="E104" s="6" t="s">
        <v>631</v>
      </c>
      <c r="F104" s="6" t="s">
        <v>632</v>
      </c>
      <c r="G104" s="6" t="s">
        <v>151</v>
      </c>
      <c r="H104" s="6" t="s">
        <v>152</v>
      </c>
      <c r="I104" s="6" t="s">
        <v>633</v>
      </c>
      <c r="J104" s="7" t="n">
        <v>4.99</v>
      </c>
      <c r="K104" s="6"/>
      <c r="L104" s="8"/>
      <c r="M104" s="8" t="n">
        <v>15931</v>
      </c>
      <c r="N104" s="6" t="s">
        <v>127</v>
      </c>
      <c r="O104" s="6" t="n">
        <v>120</v>
      </c>
      <c r="P104" s="6" t="n">
        <v>2.9</v>
      </c>
      <c r="Q104" s="9" t="n">
        <v>46159</v>
      </c>
      <c r="R104" s="10" t="n">
        <f aca="false">IF(Q104="","",($W$2-Q104)/30.44)</f>
        <v>4.69776609724047</v>
      </c>
      <c r="S104" s="6" t="s">
        <v>135</v>
      </c>
      <c r="T104" s="6" t="s">
        <v>634</v>
      </c>
      <c r="U104" s="6" t="s">
        <v>635</v>
      </c>
    </row>
    <row r="105" customFormat="false" ht="15" hidden="false" customHeight="false" outlineLevel="0" collapsed="false">
      <c r="A105" s="6" t="str">
        <f aca="false">B105&amp;"|"&amp;D105</f>
        <v>Journaling|4</v>
      </c>
      <c r="B105" s="6" t="s">
        <v>59</v>
      </c>
      <c r="C105" s="6" t="s">
        <v>60</v>
      </c>
      <c r="D105" s="6" t="n">
        <v>4</v>
      </c>
      <c r="E105" s="6" t="s">
        <v>636</v>
      </c>
      <c r="F105" s="6" t="s">
        <v>382</v>
      </c>
      <c r="G105" s="6" t="s">
        <v>637</v>
      </c>
      <c r="H105" s="6" t="s">
        <v>117</v>
      </c>
      <c r="I105" s="6" t="s">
        <v>638</v>
      </c>
      <c r="J105" s="7" t="n">
        <v>2.99</v>
      </c>
      <c r="K105" s="6" t="n">
        <v>4.7</v>
      </c>
      <c r="L105" s="8" t="n">
        <v>4797</v>
      </c>
      <c r="M105" s="8" t="n">
        <v>18779</v>
      </c>
      <c r="N105" s="6" t="s">
        <v>119</v>
      </c>
      <c r="O105" s="6" t="n">
        <v>305</v>
      </c>
      <c r="P105" s="6" t="n">
        <v>1.3</v>
      </c>
      <c r="Q105" s="9" t="n">
        <v>40820</v>
      </c>
      <c r="R105" s="10" t="n">
        <f aca="false">IF(Q105="","",($W$2-Q105)/30.44)</f>
        <v>180.091984231275</v>
      </c>
      <c r="S105" s="6" t="s">
        <v>140</v>
      </c>
      <c r="T105" s="6" t="s">
        <v>639</v>
      </c>
      <c r="U105" s="6" t="s">
        <v>640</v>
      </c>
    </row>
    <row r="106" customFormat="false" ht="15" hidden="false" customHeight="false" outlineLevel="0" collapsed="false">
      <c r="A106" s="6" t="str">
        <f aca="false">B106&amp;"|"&amp;D106</f>
        <v>Journaling|5</v>
      </c>
      <c r="B106" s="6" t="s">
        <v>59</v>
      </c>
      <c r="C106" s="6" t="s">
        <v>60</v>
      </c>
      <c r="D106" s="6" t="n">
        <v>5</v>
      </c>
      <c r="E106" s="6" t="s">
        <v>641</v>
      </c>
      <c r="F106" s="6" t="s">
        <v>177</v>
      </c>
      <c r="G106" s="6" t="s">
        <v>177</v>
      </c>
      <c r="H106" s="6" t="s">
        <v>117</v>
      </c>
      <c r="I106" s="6" t="s">
        <v>642</v>
      </c>
      <c r="J106" s="7" t="n">
        <v>22.99</v>
      </c>
      <c r="K106" s="6" t="n">
        <v>4.9</v>
      </c>
      <c r="L106" s="8" t="n">
        <v>6007</v>
      </c>
      <c r="M106" s="8" t="n">
        <v>29049</v>
      </c>
      <c r="N106" s="6" t="s">
        <v>127</v>
      </c>
      <c r="O106" s="6" t="n">
        <v>1699</v>
      </c>
      <c r="P106" s="6" t="n">
        <v>102.5</v>
      </c>
      <c r="Q106" s="9" t="n">
        <v>43746</v>
      </c>
      <c r="R106" s="10" t="n">
        <f aca="false">IF(Q106="","",($W$2-Q106)/30.44)</f>
        <v>83.9684625492773</v>
      </c>
      <c r="S106" s="6" t="s">
        <v>212</v>
      </c>
      <c r="T106" s="6" t="s">
        <v>643</v>
      </c>
      <c r="U106" s="6" t="s">
        <v>644</v>
      </c>
    </row>
    <row r="107" customFormat="false" ht="15" hidden="false" customHeight="false" outlineLevel="0" collapsed="false">
      <c r="A107" s="6" t="str">
        <f aca="false">B107&amp;"|"&amp;D107</f>
        <v>Journaling|6</v>
      </c>
      <c r="B107" s="6" t="s">
        <v>59</v>
      </c>
      <c r="C107" s="6" t="s">
        <v>60</v>
      </c>
      <c r="D107" s="6" t="n">
        <v>6</v>
      </c>
      <c r="E107" s="6" t="s">
        <v>645</v>
      </c>
      <c r="F107" s="6" t="s">
        <v>646</v>
      </c>
      <c r="G107" s="6" t="s">
        <v>545</v>
      </c>
      <c r="H107" s="6" t="s">
        <v>117</v>
      </c>
      <c r="I107" s="6" t="s">
        <v>647</v>
      </c>
      <c r="J107" s="7" t="n">
        <v>0.99</v>
      </c>
      <c r="K107" s="6" t="n">
        <v>4.5</v>
      </c>
      <c r="L107" s="8" t="n">
        <v>610</v>
      </c>
      <c r="M107" s="8" t="n">
        <v>29062</v>
      </c>
      <c r="N107" s="6" t="s">
        <v>119</v>
      </c>
      <c r="O107" s="6" t="n">
        <v>216</v>
      </c>
      <c r="P107" s="6" t="n">
        <v>0.67</v>
      </c>
      <c r="Q107" s="9" t="n">
        <v>44243</v>
      </c>
      <c r="R107" s="10" t="n">
        <f aca="false">IF(Q107="","",($W$2-Q107)/30.44)</f>
        <v>67.6412614980289</v>
      </c>
      <c r="S107" s="6" t="s">
        <v>253</v>
      </c>
      <c r="T107" s="6" t="s">
        <v>648</v>
      </c>
      <c r="U107" s="6" t="s">
        <v>649</v>
      </c>
    </row>
    <row r="108" customFormat="false" ht="15" hidden="false" customHeight="false" outlineLevel="0" collapsed="false">
      <c r="A108" s="6" t="str">
        <f aca="false">B108&amp;"|"&amp;D108</f>
        <v>Journaling|7</v>
      </c>
      <c r="B108" s="6" t="s">
        <v>59</v>
      </c>
      <c r="C108" s="6" t="s">
        <v>60</v>
      </c>
      <c r="D108" s="6" t="n">
        <v>7</v>
      </c>
      <c r="E108" s="6" t="s">
        <v>650</v>
      </c>
      <c r="F108" s="6" t="s">
        <v>651</v>
      </c>
      <c r="G108" s="6" t="s">
        <v>652</v>
      </c>
      <c r="H108" s="6" t="s">
        <v>117</v>
      </c>
      <c r="I108" s="6" t="s">
        <v>653</v>
      </c>
      <c r="J108" s="7" t="n">
        <v>12.99</v>
      </c>
      <c r="K108" s="6" t="n">
        <v>4.7</v>
      </c>
      <c r="L108" s="8" t="n">
        <v>728</v>
      </c>
      <c r="M108" s="8" t="n">
        <v>33979</v>
      </c>
      <c r="N108" s="6" t="s">
        <v>127</v>
      </c>
      <c r="O108" s="6" t="n">
        <v>226</v>
      </c>
      <c r="P108" s="6" t="n">
        <v>1.8</v>
      </c>
      <c r="Q108" s="9" t="n">
        <v>45629</v>
      </c>
      <c r="R108" s="10" t="n">
        <f aca="false">IF(Q108="","",($W$2-Q108)/30.44)</f>
        <v>22.1090670170828</v>
      </c>
      <c r="S108" s="6" t="s">
        <v>135</v>
      </c>
      <c r="T108" s="6" t="s">
        <v>654</v>
      </c>
      <c r="U108" s="6" t="s">
        <v>655</v>
      </c>
    </row>
    <row r="109" customFormat="false" ht="15" hidden="false" customHeight="false" outlineLevel="0" collapsed="false">
      <c r="A109" s="6" t="str">
        <f aca="false">B109&amp;"|"&amp;D109</f>
        <v>Journaling|8</v>
      </c>
      <c r="B109" s="6" t="s">
        <v>59</v>
      </c>
      <c r="C109" s="6" t="s">
        <v>60</v>
      </c>
      <c r="D109" s="6" t="n">
        <v>8</v>
      </c>
      <c r="E109" s="6" t="s">
        <v>656</v>
      </c>
      <c r="F109" s="6" t="s">
        <v>657</v>
      </c>
      <c r="G109" s="6" t="s">
        <v>151</v>
      </c>
      <c r="H109" s="6" t="s">
        <v>152</v>
      </c>
      <c r="I109" s="6" t="s">
        <v>658</v>
      </c>
      <c r="J109" s="7" t="n">
        <v>2.99</v>
      </c>
      <c r="K109" s="6" t="n">
        <v>4</v>
      </c>
      <c r="L109" s="8" t="n">
        <v>49</v>
      </c>
      <c r="M109" s="8" t="n">
        <v>44826</v>
      </c>
      <c r="N109" s="6" t="s">
        <v>127</v>
      </c>
      <c r="O109" s="6" t="n">
        <v>49</v>
      </c>
      <c r="P109" s="6" t="n">
        <v>0.46</v>
      </c>
      <c r="Q109" s="9" t="n">
        <v>45480</v>
      </c>
      <c r="R109" s="10" t="n">
        <f aca="false">IF(Q109="","",($W$2-Q109)/30.44)</f>
        <v>27.0039421813403</v>
      </c>
      <c r="S109" s="6" t="s">
        <v>135</v>
      </c>
      <c r="T109" s="6" t="s">
        <v>659</v>
      </c>
      <c r="U109" s="6" t="s">
        <v>660</v>
      </c>
    </row>
    <row r="110" customFormat="false" ht="15" hidden="false" customHeight="false" outlineLevel="0" collapsed="false">
      <c r="A110" s="6" t="str">
        <f aca="false">B110&amp;"|"&amp;D110</f>
        <v>Journaling|9</v>
      </c>
      <c r="B110" s="6" t="s">
        <v>59</v>
      </c>
      <c r="C110" s="6" t="s">
        <v>60</v>
      </c>
      <c r="D110" s="6" t="n">
        <v>9</v>
      </c>
      <c r="E110" s="6" t="s">
        <v>661</v>
      </c>
      <c r="F110" s="6" t="s">
        <v>662</v>
      </c>
      <c r="G110" s="6" t="s">
        <v>663</v>
      </c>
      <c r="H110" s="6" t="s">
        <v>117</v>
      </c>
      <c r="I110" s="6" t="s">
        <v>664</v>
      </c>
      <c r="J110" s="7" t="n">
        <v>4.99</v>
      </c>
      <c r="K110" s="6" t="n">
        <v>4.7</v>
      </c>
      <c r="L110" s="8" t="n">
        <v>2767</v>
      </c>
      <c r="M110" s="8" t="n">
        <v>45248</v>
      </c>
      <c r="N110" s="6" t="s">
        <v>119</v>
      </c>
      <c r="O110" s="6" t="n">
        <v>328</v>
      </c>
      <c r="P110" s="6" t="n">
        <v>1.6</v>
      </c>
      <c r="Q110" s="9" t="n">
        <v>43053</v>
      </c>
      <c r="R110" s="10" t="n">
        <f aca="false">IF(Q110="","",($W$2-Q110)/30.44)</f>
        <v>106.73455978975</v>
      </c>
      <c r="S110" s="6" t="s">
        <v>212</v>
      </c>
      <c r="T110" s="6" t="s">
        <v>665</v>
      </c>
      <c r="U110" s="6" t="s">
        <v>666</v>
      </c>
    </row>
    <row r="111" customFormat="false" ht="15" hidden="false" customHeight="false" outlineLevel="0" collapsed="false">
      <c r="A111" s="6" t="str">
        <f aca="false">B111&amp;"|"&amp;D111</f>
        <v>Journaling|10</v>
      </c>
      <c r="B111" s="6" t="s">
        <v>59</v>
      </c>
      <c r="C111" s="6" t="s">
        <v>60</v>
      </c>
      <c r="D111" s="6" t="n">
        <v>10</v>
      </c>
      <c r="E111" s="6" t="s">
        <v>667</v>
      </c>
      <c r="F111" s="6" t="s">
        <v>668</v>
      </c>
      <c r="G111" s="6" t="s">
        <v>669</v>
      </c>
      <c r="H111" s="6" t="s">
        <v>117</v>
      </c>
      <c r="I111" s="6" t="s">
        <v>670</v>
      </c>
      <c r="J111" s="7" t="n">
        <v>2.99</v>
      </c>
      <c r="K111" s="6" t="n">
        <v>4.8</v>
      </c>
      <c r="L111" s="8" t="n">
        <v>121</v>
      </c>
      <c r="M111" s="8" t="n">
        <v>46288</v>
      </c>
      <c r="N111" s="6" t="s">
        <v>119</v>
      </c>
      <c r="O111" s="6" t="n">
        <v>251</v>
      </c>
      <c r="P111" s="6" t="n">
        <v>57.6</v>
      </c>
      <c r="Q111" s="9" t="n">
        <v>45594</v>
      </c>
      <c r="R111" s="10" t="n">
        <f aca="false">IF(Q111="","",($W$2-Q111)/30.44)</f>
        <v>23.2588699080158</v>
      </c>
      <c r="S111" s="6" t="s">
        <v>212</v>
      </c>
      <c r="T111" s="6" t="s">
        <v>671</v>
      </c>
      <c r="U111" s="6" t="s">
        <v>672</v>
      </c>
    </row>
    <row r="112" customFormat="false" ht="15" hidden="false" customHeight="false" outlineLevel="0" collapsed="false">
      <c r="A112" s="6" t="str">
        <f aca="false">B112&amp;"|"&amp;D112</f>
        <v>Journaling|11</v>
      </c>
      <c r="B112" s="6" t="s">
        <v>59</v>
      </c>
      <c r="C112" s="6" t="s">
        <v>60</v>
      </c>
      <c r="D112" s="6" t="n">
        <v>11</v>
      </c>
      <c r="E112" s="6" t="s">
        <v>673</v>
      </c>
      <c r="F112" s="6" t="s">
        <v>674</v>
      </c>
      <c r="G112" s="6" t="s">
        <v>675</v>
      </c>
      <c r="H112" s="6" t="s">
        <v>117</v>
      </c>
      <c r="I112" s="6" t="s">
        <v>676</v>
      </c>
      <c r="J112" s="7" t="n">
        <v>3.99</v>
      </c>
      <c r="K112" s="6" t="n">
        <v>4.5</v>
      </c>
      <c r="L112" s="8" t="n">
        <v>829</v>
      </c>
      <c r="M112" s="8" t="n">
        <v>46301</v>
      </c>
      <c r="N112" s="6" t="s">
        <v>127</v>
      </c>
      <c r="O112" s="6" t="n">
        <v>127</v>
      </c>
      <c r="P112" s="6" t="n">
        <v>164.7</v>
      </c>
      <c r="Q112" s="9" t="n">
        <v>44299</v>
      </c>
      <c r="R112" s="10" t="n">
        <f aca="false">IF(Q112="","",($W$2-Q112)/30.44)</f>
        <v>65.8015768725361</v>
      </c>
      <c r="S112" s="6" t="s">
        <v>135</v>
      </c>
      <c r="T112" s="6" t="s">
        <v>677</v>
      </c>
      <c r="U112" s="6" t="s">
        <v>678</v>
      </c>
    </row>
    <row r="113" customFormat="false" ht="15" hidden="false" customHeight="false" outlineLevel="0" collapsed="false">
      <c r="A113" s="6" t="str">
        <f aca="false">B113&amp;"|"&amp;D113</f>
        <v>Journaling|12</v>
      </c>
      <c r="B113" s="6" t="s">
        <v>59</v>
      </c>
      <c r="C113" s="6" t="s">
        <v>60</v>
      </c>
      <c r="D113" s="6" t="n">
        <v>12</v>
      </c>
      <c r="E113" s="6" t="s">
        <v>679</v>
      </c>
      <c r="F113" s="6" t="s">
        <v>680</v>
      </c>
      <c r="G113" s="6" t="s">
        <v>681</v>
      </c>
      <c r="H113" s="6" t="s">
        <v>117</v>
      </c>
      <c r="I113" s="6" t="s">
        <v>682</v>
      </c>
      <c r="J113" s="7" t="n">
        <v>9.99</v>
      </c>
      <c r="K113" s="6" t="n">
        <v>4.4</v>
      </c>
      <c r="L113" s="8" t="n">
        <v>32</v>
      </c>
      <c r="M113" s="8" t="n">
        <v>54983</v>
      </c>
      <c r="N113" s="6" t="s">
        <v>119</v>
      </c>
      <c r="O113" s="6" t="n">
        <v>155</v>
      </c>
      <c r="P113" s="6" t="n">
        <v>4.1</v>
      </c>
      <c r="Q113" s="9" t="n">
        <v>45916</v>
      </c>
      <c r="R113" s="10" t="n">
        <f aca="false">IF(Q113="","",($W$2-Q113)/30.44)</f>
        <v>12.6806833114323</v>
      </c>
      <c r="S113" s="6" t="s">
        <v>140</v>
      </c>
      <c r="T113" s="6" t="s">
        <v>683</v>
      </c>
      <c r="U113" s="6" t="s">
        <v>684</v>
      </c>
    </row>
    <row r="114" customFormat="false" ht="15" hidden="false" customHeight="false" outlineLevel="0" collapsed="false">
      <c r="A114" s="6" t="str">
        <f aca="false">B114&amp;"|"&amp;D114</f>
        <v>Journaling|13</v>
      </c>
      <c r="B114" s="6" t="s">
        <v>59</v>
      </c>
      <c r="C114" s="6" t="s">
        <v>60</v>
      </c>
      <c r="D114" s="6" t="n">
        <v>13</v>
      </c>
      <c r="E114" s="6" t="s">
        <v>685</v>
      </c>
      <c r="F114" s="6" t="s">
        <v>267</v>
      </c>
      <c r="G114" s="6" t="s">
        <v>125</v>
      </c>
      <c r="H114" s="6" t="s">
        <v>117</v>
      </c>
      <c r="I114" s="6" t="s">
        <v>686</v>
      </c>
      <c r="J114" s="7" t="n">
        <v>14.99</v>
      </c>
      <c r="K114" s="6" t="n">
        <v>4.8</v>
      </c>
      <c r="L114" s="8" t="n">
        <v>3443</v>
      </c>
      <c r="M114" s="8" t="n">
        <v>58821</v>
      </c>
      <c r="N114" s="6" t="s">
        <v>127</v>
      </c>
      <c r="O114" s="6" t="n">
        <v>222</v>
      </c>
      <c r="P114" s="6" t="n">
        <v>16.8</v>
      </c>
      <c r="Q114" s="9" t="n">
        <v>44411</v>
      </c>
      <c r="R114" s="10" t="n">
        <f aca="false">IF(Q114="","",($W$2-Q114)/30.44)</f>
        <v>62.1222076215506</v>
      </c>
      <c r="S114" s="6" t="s">
        <v>212</v>
      </c>
      <c r="T114" s="6" t="s">
        <v>687</v>
      </c>
      <c r="U114" s="6" t="s">
        <v>688</v>
      </c>
    </row>
    <row r="115" customFormat="false" ht="15" hidden="false" customHeight="false" outlineLevel="0" collapsed="false">
      <c r="A115" s="6" t="str">
        <f aca="false">B115&amp;"|"&amp;D115</f>
        <v>Journaling|14</v>
      </c>
      <c r="B115" s="6" t="s">
        <v>59</v>
      </c>
      <c r="C115" s="6" t="s">
        <v>60</v>
      </c>
      <c r="D115" s="6" t="n">
        <v>14</v>
      </c>
      <c r="E115" s="6" t="s">
        <v>689</v>
      </c>
      <c r="F115" s="6" t="s">
        <v>690</v>
      </c>
      <c r="G115" s="6" t="s">
        <v>151</v>
      </c>
      <c r="H115" s="6" t="s">
        <v>152</v>
      </c>
      <c r="I115" s="6" t="s">
        <v>691</v>
      </c>
      <c r="J115" s="7" t="n">
        <v>3.99</v>
      </c>
      <c r="K115" s="6" t="n">
        <v>4.5</v>
      </c>
      <c r="L115" s="8" t="n">
        <v>19</v>
      </c>
      <c r="M115" s="8" t="n">
        <v>66176</v>
      </c>
      <c r="N115" s="6" t="s">
        <v>127</v>
      </c>
      <c r="O115" s="6" t="n">
        <v>36</v>
      </c>
      <c r="P115" s="6" t="n">
        <v>1.9</v>
      </c>
      <c r="Q115" s="9" t="n">
        <v>46177</v>
      </c>
      <c r="R115" s="10" t="n">
        <f aca="false">IF(Q115="","",($W$2-Q115)/30.44)</f>
        <v>4.10643889618923</v>
      </c>
      <c r="S115" s="6" t="s">
        <v>135</v>
      </c>
      <c r="T115" s="6" t="s">
        <v>692</v>
      </c>
      <c r="U115" s="6" t="s">
        <v>693</v>
      </c>
    </row>
    <row r="116" customFormat="false" ht="15" hidden="false" customHeight="false" outlineLevel="0" collapsed="false">
      <c r="A116" s="6" t="str">
        <f aca="false">B116&amp;"|"&amp;D116</f>
        <v>Journaling|15</v>
      </c>
      <c r="B116" s="6" t="s">
        <v>59</v>
      </c>
      <c r="C116" s="6" t="s">
        <v>60</v>
      </c>
      <c r="D116" s="6" t="n">
        <v>15</v>
      </c>
      <c r="E116" s="6" t="s">
        <v>694</v>
      </c>
      <c r="F116" s="6" t="s">
        <v>695</v>
      </c>
      <c r="G116" s="6" t="s">
        <v>696</v>
      </c>
      <c r="H116" s="6" t="s">
        <v>117</v>
      </c>
      <c r="I116" s="6" t="s">
        <v>697</v>
      </c>
      <c r="J116" s="7" t="n">
        <v>2.99</v>
      </c>
      <c r="K116" s="6" t="n">
        <v>4.4</v>
      </c>
      <c r="L116" s="8" t="n">
        <v>1591</v>
      </c>
      <c r="M116" s="8" t="n">
        <v>69582</v>
      </c>
      <c r="N116" s="6" t="s">
        <v>119</v>
      </c>
      <c r="O116" s="6" t="n">
        <v>185</v>
      </c>
      <c r="P116" s="6" t="n">
        <v>18.8</v>
      </c>
      <c r="Q116" s="9" t="n">
        <v>42853</v>
      </c>
      <c r="R116" s="10" t="n">
        <f aca="false">IF(Q116="","",($W$2-Q116)/30.44)</f>
        <v>113.304862023653</v>
      </c>
      <c r="S116" s="6" t="s">
        <v>135</v>
      </c>
      <c r="T116" s="6" t="s">
        <v>698</v>
      </c>
      <c r="U116" s="6" t="s">
        <v>699</v>
      </c>
    </row>
    <row r="117" customFormat="false" ht="15" hidden="false" customHeight="false" outlineLevel="0" collapsed="false">
      <c r="A117" s="6" t="str">
        <f aca="false">B117&amp;"|"&amp;D117</f>
        <v>Journaling|16</v>
      </c>
      <c r="B117" s="6" t="s">
        <v>59</v>
      </c>
      <c r="C117" s="6" t="s">
        <v>60</v>
      </c>
      <c r="D117" s="6" t="n">
        <v>16</v>
      </c>
      <c r="E117" s="6" t="s">
        <v>700</v>
      </c>
      <c r="F117" s="6" t="s">
        <v>701</v>
      </c>
      <c r="G117" s="6" t="s">
        <v>652</v>
      </c>
      <c r="H117" s="6" t="s">
        <v>117</v>
      </c>
      <c r="I117" s="6" t="s">
        <v>702</v>
      </c>
      <c r="J117" s="7" t="n">
        <v>11.99</v>
      </c>
      <c r="K117" s="6" t="n">
        <v>4.7</v>
      </c>
      <c r="L117" s="8" t="n">
        <v>1934</v>
      </c>
      <c r="M117" s="8" t="n">
        <v>71033</v>
      </c>
      <c r="N117" s="6" t="s">
        <v>127</v>
      </c>
      <c r="O117" s="6" t="n">
        <v>184</v>
      </c>
      <c r="P117" s="6" t="n">
        <v>31</v>
      </c>
      <c r="Q117" s="9" t="n">
        <v>44418</v>
      </c>
      <c r="R117" s="10" t="n">
        <f aca="false">IF(Q117="","",($W$2-Q117)/30.44)</f>
        <v>61.892247043364</v>
      </c>
      <c r="S117" s="6" t="s">
        <v>135</v>
      </c>
      <c r="T117" s="6" t="s">
        <v>703</v>
      </c>
      <c r="U117" s="6" t="s">
        <v>704</v>
      </c>
    </row>
    <row r="118" customFormat="false" ht="15" hidden="false" customHeight="false" outlineLevel="0" collapsed="false">
      <c r="A118" s="6" t="str">
        <f aca="false">B118&amp;"|"&amp;D118</f>
        <v>Journaling|17</v>
      </c>
      <c r="B118" s="6" t="s">
        <v>59</v>
      </c>
      <c r="C118" s="6" t="s">
        <v>60</v>
      </c>
      <c r="D118" s="6" t="n">
        <v>17</v>
      </c>
      <c r="E118" s="6" t="s">
        <v>705</v>
      </c>
      <c r="F118" s="6" t="s">
        <v>706</v>
      </c>
      <c r="G118" s="6" t="s">
        <v>151</v>
      </c>
      <c r="H118" s="6" t="s">
        <v>152</v>
      </c>
      <c r="I118" s="6" t="s">
        <v>707</v>
      </c>
      <c r="J118" s="7" t="n">
        <v>9.99</v>
      </c>
      <c r="K118" s="6" t="n">
        <v>4.5</v>
      </c>
      <c r="L118" s="8" t="n">
        <v>932</v>
      </c>
      <c r="M118" s="8" t="n">
        <v>71851</v>
      </c>
      <c r="N118" s="6" t="s">
        <v>119</v>
      </c>
      <c r="O118" s="6" t="n">
        <v>230</v>
      </c>
      <c r="P118" s="6" t="n">
        <v>1.4</v>
      </c>
      <c r="Q118" s="9" t="n">
        <v>44327</v>
      </c>
      <c r="R118" s="10" t="n">
        <f aca="false">IF(Q118="","",($W$2-Q118)/30.44)</f>
        <v>64.8817345597898</v>
      </c>
      <c r="S118" s="6" t="s">
        <v>253</v>
      </c>
      <c r="T118" s="6" t="s">
        <v>708</v>
      </c>
      <c r="U118" s="6" t="s">
        <v>709</v>
      </c>
    </row>
    <row r="119" customFormat="false" ht="15" hidden="false" customHeight="false" outlineLevel="0" collapsed="false">
      <c r="A119" s="6" t="str">
        <f aca="false">B119&amp;"|"&amp;D119</f>
        <v>Journaling|18</v>
      </c>
      <c r="B119" s="6" t="s">
        <v>59</v>
      </c>
      <c r="C119" s="6" t="s">
        <v>60</v>
      </c>
      <c r="D119" s="6" t="n">
        <v>18</v>
      </c>
      <c r="E119" s="6" t="s">
        <v>710</v>
      </c>
      <c r="F119" s="6" t="s">
        <v>711</v>
      </c>
      <c r="G119" s="6" t="s">
        <v>151</v>
      </c>
      <c r="H119" s="6" t="s">
        <v>152</v>
      </c>
      <c r="I119" s="6" t="s">
        <v>712</v>
      </c>
      <c r="J119" s="7" t="n">
        <v>9.99</v>
      </c>
      <c r="K119" s="6" t="n">
        <v>4.5</v>
      </c>
      <c r="L119" s="8" t="n">
        <v>44</v>
      </c>
      <c r="M119" s="8" t="n">
        <v>77345</v>
      </c>
      <c r="N119" s="6" t="s">
        <v>127</v>
      </c>
      <c r="O119" s="6" t="n">
        <v>184</v>
      </c>
      <c r="P119" s="6" t="n">
        <v>2.8</v>
      </c>
      <c r="Q119" s="9" t="n">
        <v>46063</v>
      </c>
      <c r="R119" s="10" t="n">
        <f aca="false">IF(Q119="","",($W$2-Q119)/30.44)</f>
        <v>7.8515111695138</v>
      </c>
      <c r="S119" s="6" t="s">
        <v>378</v>
      </c>
      <c r="T119" s="6" t="s">
        <v>713</v>
      </c>
      <c r="U119" s="6" t="s">
        <v>714</v>
      </c>
    </row>
    <row r="120" customFormat="false" ht="15" hidden="false" customHeight="false" outlineLevel="0" collapsed="false">
      <c r="A120" s="6" t="str">
        <f aca="false">B120&amp;"|"&amp;D120</f>
        <v>Journaling|19</v>
      </c>
      <c r="B120" s="6" t="s">
        <v>59</v>
      </c>
      <c r="C120" s="6" t="s">
        <v>60</v>
      </c>
      <c r="D120" s="6" t="n">
        <v>19</v>
      </c>
      <c r="E120" s="6" t="s">
        <v>715</v>
      </c>
      <c r="F120" s="6" t="s">
        <v>716</v>
      </c>
      <c r="G120" s="6" t="s">
        <v>717</v>
      </c>
      <c r="H120" s="6" t="s">
        <v>205</v>
      </c>
      <c r="I120" s="6" t="s">
        <v>718</v>
      </c>
      <c r="J120" s="7" t="n">
        <v>0.99</v>
      </c>
      <c r="K120" s="6" t="n">
        <v>4.3</v>
      </c>
      <c r="L120" s="8" t="n">
        <v>215</v>
      </c>
      <c r="M120" s="8" t="n">
        <v>78978</v>
      </c>
      <c r="N120" s="6" t="s">
        <v>127</v>
      </c>
      <c r="O120" s="6" t="n">
        <v>91</v>
      </c>
      <c r="P120" s="6" t="n">
        <v>2.2</v>
      </c>
      <c r="Q120" s="9" t="n">
        <v>44958</v>
      </c>
      <c r="R120" s="10" t="n">
        <f aca="false">IF(Q120="","",($W$2-Q120)/30.44)</f>
        <v>44.1524310118265</v>
      </c>
      <c r="S120" s="6" t="s">
        <v>140</v>
      </c>
      <c r="T120" s="6" t="s">
        <v>719</v>
      </c>
      <c r="U120" s="6" t="s">
        <v>720</v>
      </c>
    </row>
    <row r="121" customFormat="false" ht="15" hidden="false" customHeight="false" outlineLevel="0" collapsed="false">
      <c r="A121" s="6" t="str">
        <f aca="false">B121&amp;"|"&amp;D121</f>
        <v>Journaling|20</v>
      </c>
      <c r="B121" s="6" t="s">
        <v>59</v>
      </c>
      <c r="C121" s="6" t="s">
        <v>60</v>
      </c>
      <c r="D121" s="6" t="n">
        <v>20</v>
      </c>
      <c r="E121" s="6" t="s">
        <v>721</v>
      </c>
      <c r="F121" s="6" t="s">
        <v>722</v>
      </c>
      <c r="G121" s="6" t="s">
        <v>723</v>
      </c>
      <c r="H121" s="6" t="s">
        <v>117</v>
      </c>
      <c r="I121" s="6" t="s">
        <v>724</v>
      </c>
      <c r="J121" s="7" t="n">
        <v>11.99</v>
      </c>
      <c r="K121" s="6" t="n">
        <v>4.6</v>
      </c>
      <c r="L121" s="8" t="n">
        <v>634</v>
      </c>
      <c r="M121" s="8" t="n">
        <v>79982</v>
      </c>
      <c r="N121" s="6" t="s">
        <v>119</v>
      </c>
      <c r="O121" s="6" t="n">
        <v>183</v>
      </c>
      <c r="P121" s="6" t="n">
        <v>3.7</v>
      </c>
      <c r="Q121" s="9" t="n">
        <v>44677</v>
      </c>
      <c r="R121" s="10" t="n">
        <f aca="false">IF(Q121="","",($W$2-Q121)/30.44)</f>
        <v>53.3837056504599</v>
      </c>
      <c r="S121" s="6" t="s">
        <v>725</v>
      </c>
      <c r="T121" s="6" t="s">
        <v>726</v>
      </c>
      <c r="U121" s="6" t="s">
        <v>727</v>
      </c>
    </row>
    <row r="122" customFormat="false" ht="15" hidden="false" customHeight="false" outlineLevel="0" collapsed="false">
      <c r="A122" s="6" t="str">
        <f aca="false">B122&amp;"|"&amp;D122</f>
        <v>Time Management|1</v>
      </c>
      <c r="B122" s="6" t="s">
        <v>62</v>
      </c>
      <c r="C122" s="6" t="s">
        <v>63</v>
      </c>
      <c r="D122" s="6" t="n">
        <v>1</v>
      </c>
      <c r="E122" s="6" t="s">
        <v>468</v>
      </c>
      <c r="F122" s="6" t="s">
        <v>336</v>
      </c>
      <c r="G122" s="6" t="s">
        <v>125</v>
      </c>
      <c r="H122" s="6" t="s">
        <v>117</v>
      </c>
      <c r="I122" s="6" t="s">
        <v>469</v>
      </c>
      <c r="J122" s="7" t="n">
        <v>14.99</v>
      </c>
      <c r="K122" s="6" t="n">
        <v>5</v>
      </c>
      <c r="L122" s="8" t="n">
        <v>21</v>
      </c>
      <c r="M122" s="8" t="n">
        <v>1930</v>
      </c>
      <c r="N122" s="6" t="s">
        <v>119</v>
      </c>
      <c r="O122" s="6" t="n">
        <v>231</v>
      </c>
      <c r="P122" s="6" t="n">
        <v>1</v>
      </c>
      <c r="Q122" s="9" t="n">
        <v>46301</v>
      </c>
      <c r="R122" s="10" t="n">
        <f aca="false">IF(Q122="","",($W$2-Q122)/30.44)</f>
        <v>0.0328515111695138</v>
      </c>
      <c r="S122" s="6" t="s">
        <v>185</v>
      </c>
      <c r="T122" s="6" t="s">
        <v>470</v>
      </c>
      <c r="U122" s="6" t="s">
        <v>471</v>
      </c>
    </row>
    <row r="123" customFormat="false" ht="15" hidden="false" customHeight="false" outlineLevel="0" collapsed="false">
      <c r="A123" s="6" t="str">
        <f aca="false">B123&amp;"|"&amp;D123</f>
        <v>Time Management|2</v>
      </c>
      <c r="B123" s="6" t="s">
        <v>62</v>
      </c>
      <c r="C123" s="6" t="s">
        <v>63</v>
      </c>
      <c r="D123" s="6" t="n">
        <v>2</v>
      </c>
      <c r="E123" s="6" t="s">
        <v>728</v>
      </c>
      <c r="F123" s="6" t="s">
        <v>729</v>
      </c>
      <c r="G123" s="6" t="s">
        <v>400</v>
      </c>
      <c r="H123" s="6" t="s">
        <v>117</v>
      </c>
      <c r="I123" s="6" t="s">
        <v>730</v>
      </c>
      <c r="J123" s="7" t="n">
        <v>4.99</v>
      </c>
      <c r="K123" s="6" t="n">
        <v>4.5</v>
      </c>
      <c r="L123" s="8" t="n">
        <v>33124</v>
      </c>
      <c r="M123" s="8" t="n">
        <v>1985</v>
      </c>
      <c r="N123" s="6" t="s">
        <v>119</v>
      </c>
      <c r="O123" s="6" t="n">
        <v>286</v>
      </c>
      <c r="P123" s="6" t="n">
        <v>1.7</v>
      </c>
      <c r="Q123" s="9" t="n">
        <v>42374</v>
      </c>
      <c r="R123" s="10" t="n">
        <f aca="false">IF(Q123="","",($W$2-Q123)/30.44)</f>
        <v>129.04073587385</v>
      </c>
      <c r="S123" s="6" t="s">
        <v>140</v>
      </c>
      <c r="T123" s="6" t="s">
        <v>731</v>
      </c>
      <c r="U123" s="6" t="s">
        <v>732</v>
      </c>
    </row>
    <row r="124" customFormat="false" ht="15" hidden="false" customHeight="false" outlineLevel="0" collapsed="false">
      <c r="A124" s="6" t="str">
        <f aca="false">B124&amp;"|"&amp;D124</f>
        <v>Time Management|3</v>
      </c>
      <c r="B124" s="6" t="s">
        <v>62</v>
      </c>
      <c r="C124" s="6" t="s">
        <v>63</v>
      </c>
      <c r="D124" s="6" t="n">
        <v>3</v>
      </c>
      <c r="E124" s="6" t="s">
        <v>472</v>
      </c>
      <c r="F124" s="6" t="s">
        <v>473</v>
      </c>
      <c r="G124" s="6" t="s">
        <v>474</v>
      </c>
      <c r="H124" s="6" t="s">
        <v>117</v>
      </c>
      <c r="I124" s="6" t="s">
        <v>475</v>
      </c>
      <c r="J124" s="7" t="n">
        <v>11.99</v>
      </c>
      <c r="K124" s="6" t="n">
        <v>4.6</v>
      </c>
      <c r="L124" s="8" t="n">
        <v>3241</v>
      </c>
      <c r="M124" s="8" t="n">
        <v>2339</v>
      </c>
      <c r="N124" s="6" t="s">
        <v>119</v>
      </c>
      <c r="O124" s="6" t="n">
        <v>186</v>
      </c>
      <c r="P124" s="6" t="n">
        <v>2.7</v>
      </c>
      <c r="Q124" s="9" t="n">
        <v>45573</v>
      </c>
      <c r="R124" s="10" t="n">
        <f aca="false">IF(Q124="","",($W$2-Q124)/30.44)</f>
        <v>23.9487516425756</v>
      </c>
      <c r="S124" s="6" t="s">
        <v>140</v>
      </c>
      <c r="T124" s="6" t="s">
        <v>476</v>
      </c>
      <c r="U124" s="6" t="s">
        <v>477</v>
      </c>
    </row>
    <row r="125" customFormat="false" ht="15" hidden="false" customHeight="false" outlineLevel="0" collapsed="false">
      <c r="A125" s="6" t="str">
        <f aca="false">B125&amp;"|"&amp;D125</f>
        <v>Time Management|4</v>
      </c>
      <c r="B125" s="6" t="s">
        <v>62</v>
      </c>
      <c r="C125" s="6" t="s">
        <v>63</v>
      </c>
      <c r="D125" s="6" t="n">
        <v>4</v>
      </c>
      <c r="E125" s="6" t="s">
        <v>256</v>
      </c>
      <c r="F125" s="6" t="s">
        <v>257</v>
      </c>
      <c r="G125" s="6" t="s">
        <v>151</v>
      </c>
      <c r="H125" s="6" t="s">
        <v>152</v>
      </c>
      <c r="I125" s="6" t="s">
        <v>258</v>
      </c>
      <c r="J125" s="7" t="n">
        <v>2.99</v>
      </c>
      <c r="K125" s="6" t="n">
        <v>4.2</v>
      </c>
      <c r="L125" s="8" t="n">
        <v>15783</v>
      </c>
      <c r="M125" s="8" t="n">
        <v>2573</v>
      </c>
      <c r="N125" s="6" t="s">
        <v>127</v>
      </c>
      <c r="O125" s="6" t="n">
        <v>65</v>
      </c>
      <c r="P125" s="6" t="n">
        <v>1.3</v>
      </c>
      <c r="Q125" s="9" t="n">
        <v>44381</v>
      </c>
      <c r="R125" s="10" t="n">
        <f aca="false">IF(Q125="","",($W$2-Q125)/30.44)</f>
        <v>63.107752956636</v>
      </c>
      <c r="S125" s="6" t="s">
        <v>253</v>
      </c>
      <c r="T125" s="6" t="s">
        <v>259</v>
      </c>
      <c r="U125" s="6" t="s">
        <v>260</v>
      </c>
    </row>
    <row r="126" customFormat="false" ht="15" hidden="false" customHeight="false" outlineLevel="0" collapsed="false">
      <c r="A126" s="6" t="str">
        <f aca="false">B126&amp;"|"&amp;D126</f>
        <v>Time Management|5</v>
      </c>
      <c r="B126" s="6" t="s">
        <v>62</v>
      </c>
      <c r="C126" s="6" t="s">
        <v>63</v>
      </c>
      <c r="D126" s="6" t="n">
        <v>5</v>
      </c>
      <c r="E126" s="6" t="s">
        <v>733</v>
      </c>
      <c r="F126" s="6" t="s">
        <v>473</v>
      </c>
      <c r="G126" s="6" t="s">
        <v>474</v>
      </c>
      <c r="H126" s="6" t="s">
        <v>117</v>
      </c>
      <c r="I126" s="6" t="s">
        <v>734</v>
      </c>
      <c r="J126" s="7" t="n">
        <v>11.99</v>
      </c>
      <c r="K126" s="6" t="n">
        <v>4.5</v>
      </c>
      <c r="L126" s="8" t="n">
        <v>14508</v>
      </c>
      <c r="M126" s="8" t="n">
        <v>4173</v>
      </c>
      <c r="N126" s="6" t="s">
        <v>127</v>
      </c>
      <c r="O126" s="6" t="n">
        <v>290</v>
      </c>
      <c r="P126" s="6" t="n">
        <v>2.6</v>
      </c>
      <c r="Q126" s="9" t="n">
        <v>44418</v>
      </c>
      <c r="R126" s="10" t="n">
        <f aca="false">IF(Q126="","",($W$2-Q126)/30.44)</f>
        <v>61.892247043364</v>
      </c>
      <c r="S126" s="6" t="s">
        <v>140</v>
      </c>
      <c r="T126" s="6" t="s">
        <v>735</v>
      </c>
      <c r="U126" s="6" t="s">
        <v>736</v>
      </c>
    </row>
    <row r="127" customFormat="false" ht="15" hidden="false" customHeight="false" outlineLevel="0" collapsed="false">
      <c r="A127" s="6" t="str">
        <f aca="false">B127&amp;"|"&amp;D127</f>
        <v>Time Management|6</v>
      </c>
      <c r="B127" s="6" t="s">
        <v>62</v>
      </c>
      <c r="C127" s="6" t="s">
        <v>63</v>
      </c>
      <c r="D127" s="6" t="n">
        <v>6</v>
      </c>
      <c r="E127" s="6" t="s">
        <v>737</v>
      </c>
      <c r="F127" s="6" t="s">
        <v>738</v>
      </c>
      <c r="G127" s="6" t="s">
        <v>739</v>
      </c>
      <c r="H127" s="6" t="s">
        <v>117</v>
      </c>
      <c r="I127" s="6" t="s">
        <v>740</v>
      </c>
      <c r="J127" s="7" t="n">
        <v>2.99</v>
      </c>
      <c r="K127" s="6" t="n">
        <v>4.7</v>
      </c>
      <c r="L127" s="8" t="n">
        <v>3010</v>
      </c>
      <c r="M127" s="8" t="n">
        <v>5722</v>
      </c>
      <c r="N127" s="6" t="s">
        <v>127</v>
      </c>
      <c r="O127" s="6" t="n">
        <v>459</v>
      </c>
      <c r="P127" s="6" t="n">
        <v>6.3</v>
      </c>
      <c r="Q127" s="9" t="n">
        <v>42871</v>
      </c>
      <c r="R127" s="10" t="n">
        <f aca="false">IF(Q127="","",($W$2-Q127)/30.44)</f>
        <v>112.713534822602</v>
      </c>
      <c r="S127" s="6" t="s">
        <v>140</v>
      </c>
      <c r="T127" s="6" t="s">
        <v>741</v>
      </c>
      <c r="U127" s="6" t="s">
        <v>742</v>
      </c>
    </row>
    <row r="128" customFormat="false" ht="15" hidden="false" customHeight="false" outlineLevel="0" collapsed="false">
      <c r="A128" s="6" t="str">
        <f aca="false">B128&amp;"|"&amp;D128</f>
        <v>Time Management|7</v>
      </c>
      <c r="B128" s="6" t="s">
        <v>62</v>
      </c>
      <c r="C128" s="6" t="s">
        <v>63</v>
      </c>
      <c r="D128" s="6" t="n">
        <v>7</v>
      </c>
      <c r="E128" s="6" t="s">
        <v>743</v>
      </c>
      <c r="F128" s="6" t="s">
        <v>744</v>
      </c>
      <c r="G128" s="6" t="s">
        <v>745</v>
      </c>
      <c r="H128" s="6" t="s">
        <v>117</v>
      </c>
      <c r="I128" s="6" t="s">
        <v>746</v>
      </c>
      <c r="J128" s="7" t="n">
        <v>1.99</v>
      </c>
      <c r="K128" s="6" t="n">
        <v>4.4</v>
      </c>
      <c r="L128" s="8" t="n">
        <v>2749</v>
      </c>
      <c r="M128" s="8" t="n">
        <v>8217</v>
      </c>
      <c r="N128" s="6" t="s">
        <v>119</v>
      </c>
      <c r="O128" s="6" t="n">
        <v>352</v>
      </c>
      <c r="P128" s="6" t="n">
        <v>10.9</v>
      </c>
      <c r="Q128" s="9" t="n">
        <v>43739</v>
      </c>
      <c r="R128" s="10" t="n">
        <f aca="false">IF(Q128="","",($W$2-Q128)/30.44)</f>
        <v>84.1984231274639</v>
      </c>
      <c r="S128" s="6" t="s">
        <v>140</v>
      </c>
      <c r="T128" s="6" t="s">
        <v>747</v>
      </c>
      <c r="U128" s="6" t="s">
        <v>748</v>
      </c>
    </row>
    <row r="129" customFormat="false" ht="15" hidden="false" customHeight="false" outlineLevel="0" collapsed="false">
      <c r="A129" s="6" t="str">
        <f aca="false">B129&amp;"|"&amp;D129</f>
        <v>Time Management|8</v>
      </c>
      <c r="B129" s="6" t="s">
        <v>62</v>
      </c>
      <c r="C129" s="6" t="s">
        <v>63</v>
      </c>
      <c r="D129" s="6" t="n">
        <v>8</v>
      </c>
      <c r="E129" s="6" t="s">
        <v>749</v>
      </c>
      <c r="F129" s="6" t="s">
        <v>750</v>
      </c>
      <c r="G129" s="6" t="s">
        <v>751</v>
      </c>
      <c r="H129" s="6" t="s">
        <v>117</v>
      </c>
      <c r="I129" s="6" t="s">
        <v>752</v>
      </c>
      <c r="J129" s="7" t="n">
        <v>3.99</v>
      </c>
      <c r="K129" s="6" t="n">
        <v>4.7</v>
      </c>
      <c r="L129" s="8" t="n">
        <v>13729</v>
      </c>
      <c r="M129" s="8" t="n">
        <v>8360</v>
      </c>
      <c r="N129" s="6" t="s">
        <v>119</v>
      </c>
      <c r="O129" s="6" t="n">
        <v>145</v>
      </c>
      <c r="P129" s="6" t="n">
        <v>3.1</v>
      </c>
      <c r="Q129" s="9" t="n">
        <v>45867</v>
      </c>
      <c r="R129" s="10" t="n">
        <f aca="false">IF(Q129="","",($W$2-Q129)/30.44)</f>
        <v>14.2904073587385</v>
      </c>
      <c r="S129" s="6" t="s">
        <v>165</v>
      </c>
      <c r="T129" s="6" t="s">
        <v>753</v>
      </c>
      <c r="U129" s="6" t="s">
        <v>754</v>
      </c>
    </row>
    <row r="130" customFormat="false" ht="15" hidden="false" customHeight="false" outlineLevel="0" collapsed="false">
      <c r="A130" s="6" t="str">
        <f aca="false">B130&amp;"|"&amp;D130</f>
        <v>Time Management|9</v>
      </c>
      <c r="B130" s="6" t="s">
        <v>62</v>
      </c>
      <c r="C130" s="6" t="s">
        <v>63</v>
      </c>
      <c r="D130" s="6" t="n">
        <v>9</v>
      </c>
      <c r="E130" s="6" t="s">
        <v>755</v>
      </c>
      <c r="F130" s="6" t="s">
        <v>756</v>
      </c>
      <c r="G130" s="6" t="s">
        <v>757</v>
      </c>
      <c r="H130" s="6" t="s">
        <v>117</v>
      </c>
      <c r="I130" s="6" t="s">
        <v>758</v>
      </c>
      <c r="J130" s="7" t="n">
        <v>1.99</v>
      </c>
      <c r="K130" s="6" t="n">
        <v>4.4</v>
      </c>
      <c r="L130" s="8" t="n">
        <v>1421</v>
      </c>
      <c r="M130" s="8" t="n">
        <v>10028</v>
      </c>
      <c r="N130" s="6" t="s">
        <v>119</v>
      </c>
      <c r="O130" s="6" t="n">
        <v>226</v>
      </c>
      <c r="P130" s="6" t="n">
        <v>4.8</v>
      </c>
      <c r="Q130" s="9" t="n">
        <v>39177</v>
      </c>
      <c r="R130" s="10" t="n">
        <f aca="false">IF(Q130="","",($W$2-Q130)/30.44)</f>
        <v>234.067017082786</v>
      </c>
      <c r="S130" s="6" t="s">
        <v>135</v>
      </c>
      <c r="T130" s="6" t="s">
        <v>759</v>
      </c>
      <c r="U130" s="6" t="s">
        <v>760</v>
      </c>
    </row>
    <row r="131" customFormat="false" ht="15" hidden="false" customHeight="false" outlineLevel="0" collapsed="false">
      <c r="A131" s="6" t="str">
        <f aca="false">B131&amp;"|"&amp;D131</f>
        <v>Time Management|10</v>
      </c>
      <c r="B131" s="6" t="s">
        <v>62</v>
      </c>
      <c r="C131" s="6" t="s">
        <v>63</v>
      </c>
      <c r="D131" s="6" t="n">
        <v>10</v>
      </c>
      <c r="E131" s="6" t="s">
        <v>761</v>
      </c>
      <c r="F131" s="6" t="s">
        <v>762</v>
      </c>
      <c r="G131" s="6" t="s">
        <v>151</v>
      </c>
      <c r="H131" s="6" t="s">
        <v>152</v>
      </c>
      <c r="I131" s="6" t="s">
        <v>763</v>
      </c>
      <c r="J131" s="7" t="n">
        <v>2.99</v>
      </c>
      <c r="K131" s="6"/>
      <c r="L131" s="8"/>
      <c r="M131" s="8" t="n">
        <v>10036</v>
      </c>
      <c r="N131" s="6" t="s">
        <v>127</v>
      </c>
      <c r="O131" s="6" t="n">
        <v>852</v>
      </c>
      <c r="P131" s="6" t="n">
        <v>4.9</v>
      </c>
      <c r="Q131" s="9" t="n">
        <v>46068</v>
      </c>
      <c r="R131" s="10" t="n">
        <f aca="false">IF(Q131="","",($W$2-Q131)/30.44)</f>
        <v>7.68725361366623</v>
      </c>
      <c r="S131" s="6" t="s">
        <v>764</v>
      </c>
      <c r="T131" s="6" t="s">
        <v>765</v>
      </c>
      <c r="U131" s="6" t="s">
        <v>766</v>
      </c>
    </row>
    <row r="132" customFormat="false" ht="15" hidden="false" customHeight="false" outlineLevel="0" collapsed="false">
      <c r="A132" s="6" t="str">
        <f aca="false">B132&amp;"|"&amp;D132</f>
        <v>Time Management|11</v>
      </c>
      <c r="B132" s="6" t="s">
        <v>62</v>
      </c>
      <c r="C132" s="6" t="s">
        <v>63</v>
      </c>
      <c r="D132" s="6" t="n">
        <v>11</v>
      </c>
      <c r="E132" s="6" t="s">
        <v>428</v>
      </c>
      <c r="F132" s="6" t="s">
        <v>336</v>
      </c>
      <c r="G132" s="6" t="s">
        <v>125</v>
      </c>
      <c r="H132" s="6" t="s">
        <v>117</v>
      </c>
      <c r="I132" s="6" t="s">
        <v>429</v>
      </c>
      <c r="J132" s="7" t="n">
        <v>2.99</v>
      </c>
      <c r="K132" s="6" t="n">
        <v>4.6</v>
      </c>
      <c r="L132" s="8" t="n">
        <v>6007</v>
      </c>
      <c r="M132" s="8" t="n">
        <v>10396</v>
      </c>
      <c r="N132" s="6" t="s">
        <v>127</v>
      </c>
      <c r="O132" s="6" t="n">
        <v>242</v>
      </c>
      <c r="P132" s="6" t="n">
        <v>2.4</v>
      </c>
      <c r="Q132" s="9" t="n">
        <v>43158</v>
      </c>
      <c r="R132" s="10" t="n">
        <f aca="false">IF(Q132="","",($W$2-Q132)/30.44)</f>
        <v>103.285151116951</v>
      </c>
      <c r="S132" s="6" t="s">
        <v>128</v>
      </c>
      <c r="T132" s="6" t="s">
        <v>430</v>
      </c>
      <c r="U132" s="6" t="s">
        <v>431</v>
      </c>
    </row>
    <row r="133" customFormat="false" ht="15" hidden="false" customHeight="false" outlineLevel="0" collapsed="false">
      <c r="A133" s="6" t="str">
        <f aca="false">B133&amp;"|"&amp;D133</f>
        <v>Time Management|12</v>
      </c>
      <c r="B133" s="6" t="s">
        <v>62</v>
      </c>
      <c r="C133" s="6" t="s">
        <v>63</v>
      </c>
      <c r="D133" s="6" t="n">
        <v>12</v>
      </c>
      <c r="E133" s="6" t="s">
        <v>767</v>
      </c>
      <c r="F133" s="6" t="s">
        <v>768</v>
      </c>
      <c r="G133" s="6" t="s">
        <v>739</v>
      </c>
      <c r="H133" s="6" t="s">
        <v>117</v>
      </c>
      <c r="I133" s="6" t="s">
        <v>769</v>
      </c>
      <c r="J133" s="7" t="n">
        <v>2.99</v>
      </c>
      <c r="K133" s="6" t="n">
        <v>4.7</v>
      </c>
      <c r="L133" s="8" t="n">
        <v>8049</v>
      </c>
      <c r="M133" s="8" t="n">
        <v>10874</v>
      </c>
      <c r="N133" s="6" t="s">
        <v>119</v>
      </c>
      <c r="O133" s="6" t="n">
        <v>592</v>
      </c>
      <c r="P133" s="6" t="n">
        <v>30.6</v>
      </c>
      <c r="Q133" s="9" t="n">
        <v>44320</v>
      </c>
      <c r="R133" s="10" t="n">
        <f aca="false">IF(Q133="","",($W$2-Q133)/30.44)</f>
        <v>65.1116951379763</v>
      </c>
      <c r="S133" s="6" t="s">
        <v>140</v>
      </c>
      <c r="T133" s="6" t="s">
        <v>770</v>
      </c>
      <c r="U133" s="6" t="s">
        <v>771</v>
      </c>
    </row>
    <row r="134" customFormat="false" ht="15" hidden="false" customHeight="false" outlineLevel="0" collapsed="false">
      <c r="A134" s="6" t="str">
        <f aca="false">B134&amp;"|"&amp;D134</f>
        <v>Time Management|13</v>
      </c>
      <c r="B134" s="6" t="s">
        <v>62</v>
      </c>
      <c r="C134" s="6" t="s">
        <v>63</v>
      </c>
      <c r="D134" s="6" t="n">
        <v>13</v>
      </c>
      <c r="E134" s="6" t="s">
        <v>772</v>
      </c>
      <c r="F134" s="6" t="s">
        <v>773</v>
      </c>
      <c r="G134" s="6" t="s">
        <v>774</v>
      </c>
      <c r="H134" s="6" t="s">
        <v>117</v>
      </c>
      <c r="I134" s="6" t="s">
        <v>775</v>
      </c>
      <c r="J134" s="7" t="n">
        <v>9.99</v>
      </c>
      <c r="K134" s="6" t="n">
        <v>4.7</v>
      </c>
      <c r="L134" s="8" t="n">
        <v>1817</v>
      </c>
      <c r="M134" s="8" t="n">
        <v>12130</v>
      </c>
      <c r="N134" s="6" t="s">
        <v>127</v>
      </c>
      <c r="O134" s="6" t="n">
        <v>320</v>
      </c>
      <c r="P134" s="6" t="n">
        <v>27.5</v>
      </c>
      <c r="Q134" s="9" t="n">
        <v>45412</v>
      </c>
      <c r="R134" s="10" t="n">
        <f aca="false">IF(Q134="","",($W$2-Q134)/30.44)</f>
        <v>29.2378449408673</v>
      </c>
      <c r="S134" s="6" t="s">
        <v>146</v>
      </c>
      <c r="T134" s="6" t="s">
        <v>776</v>
      </c>
      <c r="U134" s="6" t="s">
        <v>777</v>
      </c>
    </row>
    <row r="135" customFormat="false" ht="15" hidden="false" customHeight="false" outlineLevel="0" collapsed="false">
      <c r="A135" s="6" t="str">
        <f aca="false">B135&amp;"|"&amp;D135</f>
        <v>Time Management|14</v>
      </c>
      <c r="B135" s="6" t="s">
        <v>62</v>
      </c>
      <c r="C135" s="6" t="s">
        <v>63</v>
      </c>
      <c r="D135" s="6" t="n">
        <v>14</v>
      </c>
      <c r="E135" s="6" t="s">
        <v>778</v>
      </c>
      <c r="F135" s="6" t="s">
        <v>779</v>
      </c>
      <c r="G135" s="6" t="s">
        <v>780</v>
      </c>
      <c r="H135" s="6" t="s">
        <v>117</v>
      </c>
      <c r="I135" s="6" t="s">
        <v>781</v>
      </c>
      <c r="J135" s="7" t="n">
        <v>12.99</v>
      </c>
      <c r="K135" s="6" t="n">
        <v>4.4</v>
      </c>
      <c r="L135" s="8" t="n">
        <v>7604</v>
      </c>
      <c r="M135" s="8" t="n">
        <v>16065</v>
      </c>
      <c r="N135" s="6" t="s">
        <v>127</v>
      </c>
      <c r="O135" s="6" t="n">
        <v>322</v>
      </c>
      <c r="P135" s="6" t="n">
        <v>1.5</v>
      </c>
      <c r="Q135" s="9" t="n">
        <v>39678</v>
      </c>
      <c r="R135" s="10" t="n">
        <f aca="false">IF(Q135="","",($W$2-Q135)/30.44)</f>
        <v>217.608409986859</v>
      </c>
      <c r="S135" s="6" t="s">
        <v>165</v>
      </c>
      <c r="T135" s="6" t="s">
        <v>782</v>
      </c>
      <c r="U135" s="6" t="s">
        <v>783</v>
      </c>
    </row>
    <row r="136" customFormat="false" ht="15" hidden="false" customHeight="false" outlineLevel="0" collapsed="false">
      <c r="A136" s="6" t="str">
        <f aca="false">B136&amp;"|"&amp;D136</f>
        <v>Time Management|15</v>
      </c>
      <c r="B136" s="6" t="s">
        <v>62</v>
      </c>
      <c r="C136" s="6" t="s">
        <v>63</v>
      </c>
      <c r="D136" s="6" t="n">
        <v>15</v>
      </c>
      <c r="E136" s="6" t="s">
        <v>784</v>
      </c>
      <c r="F136" s="6" t="s">
        <v>336</v>
      </c>
      <c r="G136" s="6" t="s">
        <v>125</v>
      </c>
      <c r="H136" s="6" t="s">
        <v>117</v>
      </c>
      <c r="I136" s="6" t="s">
        <v>785</v>
      </c>
      <c r="J136" s="7" t="n">
        <v>3.99</v>
      </c>
      <c r="K136" s="6" t="n">
        <v>4.7</v>
      </c>
      <c r="L136" s="8" t="n">
        <v>3499</v>
      </c>
      <c r="M136" s="8" t="n">
        <v>24718</v>
      </c>
      <c r="N136" s="6" t="s">
        <v>127</v>
      </c>
      <c r="O136" s="6" t="n">
        <v>216</v>
      </c>
      <c r="P136" s="6" t="n">
        <v>7.3</v>
      </c>
      <c r="Q136" s="9" t="n">
        <v>42682</v>
      </c>
      <c r="R136" s="10" t="n">
        <f aca="false">IF(Q136="","",($W$2-Q136)/30.44)</f>
        <v>118.92247043364</v>
      </c>
      <c r="S136" s="6" t="s">
        <v>165</v>
      </c>
      <c r="T136" s="6" t="s">
        <v>786</v>
      </c>
      <c r="U136" s="6" t="s">
        <v>787</v>
      </c>
    </row>
    <row r="137" customFormat="false" ht="15" hidden="false" customHeight="false" outlineLevel="0" collapsed="false">
      <c r="A137" s="6" t="str">
        <f aca="false">B137&amp;"|"&amp;D137</f>
        <v>Time Management|16</v>
      </c>
      <c r="B137" s="6" t="s">
        <v>62</v>
      </c>
      <c r="C137" s="6" t="s">
        <v>63</v>
      </c>
      <c r="D137" s="6" t="n">
        <v>16</v>
      </c>
      <c r="E137" s="6" t="s">
        <v>788</v>
      </c>
      <c r="F137" s="6" t="s">
        <v>789</v>
      </c>
      <c r="G137" s="6" t="s">
        <v>486</v>
      </c>
      <c r="H137" s="6" t="s">
        <v>117</v>
      </c>
      <c r="I137" s="6" t="s">
        <v>790</v>
      </c>
      <c r="J137" s="7" t="n">
        <v>14.99</v>
      </c>
      <c r="K137" s="6" t="n">
        <v>4.5</v>
      </c>
      <c r="L137" s="8" t="n">
        <v>10762</v>
      </c>
      <c r="M137" s="8" t="n">
        <v>27385</v>
      </c>
      <c r="N137" s="6" t="s">
        <v>119</v>
      </c>
      <c r="O137" s="6" t="n">
        <v>352</v>
      </c>
      <c r="P137" s="6" t="n">
        <v>2.7</v>
      </c>
      <c r="Q137" s="9" t="n">
        <v>42080</v>
      </c>
      <c r="R137" s="10" t="n">
        <f aca="false">IF(Q137="","",($W$2-Q137)/30.44)</f>
        <v>138.699080157687</v>
      </c>
      <c r="S137" s="6" t="s">
        <v>253</v>
      </c>
      <c r="T137" s="6" t="s">
        <v>791</v>
      </c>
      <c r="U137" s="6" t="s">
        <v>792</v>
      </c>
    </row>
    <row r="138" customFormat="false" ht="15" hidden="false" customHeight="false" outlineLevel="0" collapsed="false">
      <c r="A138" s="6" t="str">
        <f aca="false">B138&amp;"|"&amp;D138</f>
        <v>Time Management|17</v>
      </c>
      <c r="B138" s="6" t="s">
        <v>62</v>
      </c>
      <c r="C138" s="6" t="s">
        <v>63</v>
      </c>
      <c r="D138" s="6" t="n">
        <v>17</v>
      </c>
      <c r="E138" s="6" t="s">
        <v>793</v>
      </c>
      <c r="F138" s="6" t="s">
        <v>794</v>
      </c>
      <c r="G138" s="6" t="s">
        <v>795</v>
      </c>
      <c r="H138" s="6" t="s">
        <v>117</v>
      </c>
      <c r="I138" s="6" t="s">
        <v>796</v>
      </c>
      <c r="J138" s="7" t="n">
        <v>11.99</v>
      </c>
      <c r="K138" s="6" t="n">
        <v>4.5</v>
      </c>
      <c r="L138" s="8" t="n">
        <v>38078</v>
      </c>
      <c r="M138" s="8" t="n">
        <v>27298</v>
      </c>
      <c r="N138" s="6" t="s">
        <v>119</v>
      </c>
      <c r="O138" s="6" t="n">
        <v>312</v>
      </c>
      <c r="P138" s="6" t="n">
        <v>4.7</v>
      </c>
      <c r="Q138" s="9" t="n">
        <v>43438</v>
      </c>
      <c r="R138" s="10" t="n">
        <f aca="false">IF(Q138="","",($W$2-Q138)/30.44)</f>
        <v>94.0867279894875</v>
      </c>
      <c r="S138" s="6" t="s">
        <v>140</v>
      </c>
      <c r="T138" s="6" t="s">
        <v>797</v>
      </c>
      <c r="U138" s="6" t="s">
        <v>798</v>
      </c>
    </row>
    <row r="139" customFormat="false" ht="15" hidden="false" customHeight="false" outlineLevel="0" collapsed="false">
      <c r="A139" s="6" t="str">
        <f aca="false">B139&amp;"|"&amp;D139</f>
        <v>Time Management|18</v>
      </c>
      <c r="B139" s="6" t="s">
        <v>62</v>
      </c>
      <c r="C139" s="6" t="s">
        <v>63</v>
      </c>
      <c r="D139" s="6" t="n">
        <v>18</v>
      </c>
      <c r="E139" s="6" t="s">
        <v>799</v>
      </c>
      <c r="F139" s="6" t="s">
        <v>800</v>
      </c>
      <c r="G139" s="6" t="s">
        <v>801</v>
      </c>
      <c r="H139" s="6" t="s">
        <v>117</v>
      </c>
      <c r="I139" s="6" t="s">
        <v>802</v>
      </c>
      <c r="J139" s="7" t="n">
        <v>2.99</v>
      </c>
      <c r="K139" s="6" t="n">
        <v>4.7</v>
      </c>
      <c r="L139" s="8" t="n">
        <v>853</v>
      </c>
      <c r="M139" s="8" t="n">
        <v>31306</v>
      </c>
      <c r="N139" s="6" t="s">
        <v>127</v>
      </c>
      <c r="O139" s="6" t="n">
        <v>313</v>
      </c>
      <c r="P139" s="6" t="n">
        <v>14.1</v>
      </c>
      <c r="Q139" s="9" t="n">
        <v>44579</v>
      </c>
      <c r="R139" s="10" t="n">
        <f aca="false">IF(Q139="","",($W$2-Q139)/30.44)</f>
        <v>56.6031537450723</v>
      </c>
      <c r="S139" s="6" t="s">
        <v>803</v>
      </c>
      <c r="T139" s="6" t="s">
        <v>804</v>
      </c>
      <c r="U139" s="6" t="s">
        <v>805</v>
      </c>
    </row>
    <row r="140" customFormat="false" ht="15" hidden="false" customHeight="false" outlineLevel="0" collapsed="false">
      <c r="A140" s="6" t="str">
        <f aca="false">B140&amp;"|"&amp;D140</f>
        <v>Time Management|19</v>
      </c>
      <c r="B140" s="6" t="s">
        <v>62</v>
      </c>
      <c r="C140" s="6" t="s">
        <v>63</v>
      </c>
      <c r="D140" s="6" t="n">
        <v>19</v>
      </c>
      <c r="E140" s="6" t="s">
        <v>806</v>
      </c>
      <c r="F140" s="6" t="s">
        <v>807</v>
      </c>
      <c r="G140" s="6" t="s">
        <v>151</v>
      </c>
      <c r="H140" s="6" t="s">
        <v>152</v>
      </c>
      <c r="I140" s="6" t="s">
        <v>808</v>
      </c>
      <c r="J140" s="7" t="n">
        <v>9.99</v>
      </c>
      <c r="K140" s="6" t="n">
        <v>4.8</v>
      </c>
      <c r="L140" s="8" t="n">
        <v>334</v>
      </c>
      <c r="M140" s="8" t="n">
        <v>37301</v>
      </c>
      <c r="N140" s="6" t="s">
        <v>127</v>
      </c>
      <c r="O140" s="6" t="n">
        <v>207</v>
      </c>
      <c r="P140" s="6" t="n">
        <v>2.3</v>
      </c>
      <c r="Q140" s="9" t="n">
        <v>45904</v>
      </c>
      <c r="R140" s="10" t="n">
        <f aca="false">IF(Q140="","",($W$2-Q140)/30.44)</f>
        <v>13.0749014454665</v>
      </c>
      <c r="S140" s="6" t="s">
        <v>378</v>
      </c>
      <c r="T140" s="6" t="s">
        <v>809</v>
      </c>
      <c r="U140" s="6" t="s">
        <v>810</v>
      </c>
    </row>
    <row r="141" customFormat="false" ht="15" hidden="false" customHeight="false" outlineLevel="0" collapsed="false">
      <c r="A141" s="6" t="str">
        <f aca="false">B141&amp;"|"&amp;D141</f>
        <v>Time Management|20</v>
      </c>
      <c r="B141" s="6" t="s">
        <v>62</v>
      </c>
      <c r="C141" s="6" t="s">
        <v>63</v>
      </c>
      <c r="D141" s="6" t="n">
        <v>20</v>
      </c>
      <c r="E141" s="6" t="s">
        <v>811</v>
      </c>
      <c r="F141" s="6" t="s">
        <v>812</v>
      </c>
      <c r="G141" s="6" t="s">
        <v>813</v>
      </c>
      <c r="H141" s="6" t="s">
        <v>205</v>
      </c>
      <c r="I141" s="6" t="s">
        <v>814</v>
      </c>
      <c r="J141" s="7" t="n">
        <v>9.99</v>
      </c>
      <c r="K141" s="6" t="n">
        <v>4.5</v>
      </c>
      <c r="L141" s="8" t="n">
        <v>377</v>
      </c>
      <c r="M141" s="8" t="n">
        <v>38918</v>
      </c>
      <c r="N141" s="6" t="s">
        <v>127</v>
      </c>
      <c r="O141" s="6" t="n">
        <v>151</v>
      </c>
      <c r="P141" s="6" t="n">
        <v>19.2</v>
      </c>
      <c r="Q141" s="9" t="n">
        <v>45822</v>
      </c>
      <c r="R141" s="10" t="n">
        <f aca="false">IF(Q141="","",($W$2-Q141)/30.44)</f>
        <v>15.7687253613666</v>
      </c>
      <c r="S141" s="6" t="s">
        <v>140</v>
      </c>
      <c r="T141" s="6" t="s">
        <v>815</v>
      </c>
      <c r="U141" s="6" t="s">
        <v>816</v>
      </c>
    </row>
    <row r="142" customFormat="false" ht="15" hidden="false" customHeight="false" outlineLevel="0" collapsed="false">
      <c r="A142" s="6" t="str">
        <f aca="false">B142&amp;"|"&amp;D142</f>
        <v>Nutrition|1</v>
      </c>
      <c r="B142" s="6" t="s">
        <v>65</v>
      </c>
      <c r="C142" s="6" t="s">
        <v>66</v>
      </c>
      <c r="D142" s="6" t="n">
        <v>1</v>
      </c>
      <c r="E142" s="6" t="s">
        <v>817</v>
      </c>
      <c r="F142" s="6" t="s">
        <v>818</v>
      </c>
      <c r="G142" s="6" t="s">
        <v>819</v>
      </c>
      <c r="H142" s="6" t="s">
        <v>117</v>
      </c>
      <c r="I142" s="6" t="s">
        <v>820</v>
      </c>
      <c r="J142" s="7" t="n">
        <v>3.99</v>
      </c>
      <c r="K142" s="6" t="n">
        <v>4.7</v>
      </c>
      <c r="L142" s="8" t="n">
        <v>607</v>
      </c>
      <c r="M142" s="8" t="n">
        <v>1984</v>
      </c>
      <c r="N142" s="6" t="s">
        <v>119</v>
      </c>
      <c r="O142" s="6" t="n">
        <v>279</v>
      </c>
      <c r="P142" s="6" t="n">
        <v>8.6</v>
      </c>
      <c r="Q142" s="9" t="n">
        <v>46084</v>
      </c>
      <c r="R142" s="10" t="n">
        <f aca="false">IF(Q142="","",($W$2-Q142)/30.44)</f>
        <v>7.16162943495401</v>
      </c>
      <c r="S142" s="6" t="s">
        <v>140</v>
      </c>
      <c r="T142" s="6" t="s">
        <v>821</v>
      </c>
      <c r="U142" s="6" t="s">
        <v>822</v>
      </c>
    </row>
    <row r="143" customFormat="false" ht="15" hidden="false" customHeight="false" outlineLevel="0" collapsed="false">
      <c r="A143" s="6" t="str">
        <f aca="false">B143&amp;"|"&amp;D143</f>
        <v>Nutrition|2</v>
      </c>
      <c r="B143" s="6" t="s">
        <v>65</v>
      </c>
      <c r="C143" s="6" t="s">
        <v>66</v>
      </c>
      <c r="D143" s="6" t="n">
        <v>2</v>
      </c>
      <c r="E143" s="6" t="s">
        <v>823</v>
      </c>
      <c r="F143" s="6" t="s">
        <v>824</v>
      </c>
      <c r="G143" s="6" t="s">
        <v>331</v>
      </c>
      <c r="H143" s="6" t="s">
        <v>117</v>
      </c>
      <c r="I143" s="6" t="s">
        <v>825</v>
      </c>
      <c r="J143" s="7" t="n">
        <v>2.99</v>
      </c>
      <c r="K143" s="6" t="n">
        <v>4.7</v>
      </c>
      <c r="L143" s="8" t="n">
        <v>8631</v>
      </c>
      <c r="M143" s="8" t="n">
        <v>5165</v>
      </c>
      <c r="N143" s="6" t="s">
        <v>119</v>
      </c>
      <c r="O143" s="6" t="n">
        <v>329</v>
      </c>
      <c r="P143" s="6" t="n">
        <v>3.9</v>
      </c>
      <c r="Q143" s="9" t="n">
        <v>44922</v>
      </c>
      <c r="R143" s="10" t="n">
        <f aca="false">IF(Q143="","",($W$2-Q143)/30.44)</f>
        <v>45.335085413929</v>
      </c>
      <c r="S143" s="6" t="s">
        <v>140</v>
      </c>
      <c r="T143" s="6" t="s">
        <v>826</v>
      </c>
      <c r="U143" s="6" t="s">
        <v>827</v>
      </c>
    </row>
    <row r="144" customFormat="false" ht="15" hidden="false" customHeight="false" outlineLevel="0" collapsed="false">
      <c r="A144" s="6" t="str">
        <f aca="false">B144&amp;"|"&amp;D144</f>
        <v>Nutrition|3</v>
      </c>
      <c r="B144" s="6" t="s">
        <v>65</v>
      </c>
      <c r="C144" s="6" t="s">
        <v>66</v>
      </c>
      <c r="D144" s="6" t="n">
        <v>3</v>
      </c>
      <c r="E144" s="6" t="s">
        <v>828</v>
      </c>
      <c r="F144" s="6" t="s">
        <v>829</v>
      </c>
      <c r="G144" s="6" t="s">
        <v>830</v>
      </c>
      <c r="H144" s="6" t="s">
        <v>205</v>
      </c>
      <c r="I144" s="6" t="s">
        <v>831</v>
      </c>
      <c r="J144" s="7" t="n">
        <v>9.99</v>
      </c>
      <c r="K144" s="6" t="n">
        <v>4.7</v>
      </c>
      <c r="L144" s="8" t="n">
        <v>181</v>
      </c>
      <c r="M144" s="8" t="n">
        <v>5470</v>
      </c>
      <c r="N144" s="6" t="s">
        <v>127</v>
      </c>
      <c r="O144" s="6" t="n">
        <v>155</v>
      </c>
      <c r="P144" s="6" t="n">
        <v>0.42</v>
      </c>
      <c r="Q144" s="9" t="n">
        <v>46092</v>
      </c>
      <c r="R144" s="10" t="n">
        <f aca="false">IF(Q144="","",($W$2-Q144)/30.44)</f>
        <v>6.8988173455979</v>
      </c>
      <c r="S144" s="6" t="s">
        <v>378</v>
      </c>
      <c r="T144" s="6" t="s">
        <v>832</v>
      </c>
      <c r="U144" s="6" t="s">
        <v>833</v>
      </c>
    </row>
    <row r="145" customFormat="false" ht="15" hidden="false" customHeight="false" outlineLevel="0" collapsed="false">
      <c r="A145" s="6" t="str">
        <f aca="false">B145&amp;"|"&amp;D145</f>
        <v>Nutrition|4</v>
      </c>
      <c r="B145" s="6" t="s">
        <v>65</v>
      </c>
      <c r="C145" s="6" t="s">
        <v>66</v>
      </c>
      <c r="D145" s="6" t="n">
        <v>4</v>
      </c>
      <c r="E145" s="6" t="s">
        <v>834</v>
      </c>
      <c r="F145" s="6" t="s">
        <v>835</v>
      </c>
      <c r="G145" s="6" t="s">
        <v>836</v>
      </c>
      <c r="H145" s="6" t="s">
        <v>117</v>
      </c>
      <c r="I145" s="6" t="s">
        <v>837</v>
      </c>
      <c r="J145" s="7" t="n">
        <v>1.99</v>
      </c>
      <c r="K145" s="6"/>
      <c r="L145" s="8"/>
      <c r="M145" s="8" t="n">
        <v>7597</v>
      </c>
      <c r="N145" s="6" t="s">
        <v>119</v>
      </c>
      <c r="O145" s="6" t="n">
        <v>228</v>
      </c>
      <c r="P145" s="6" t="n">
        <v>1.3</v>
      </c>
      <c r="Q145" s="9" t="n">
        <v>46301</v>
      </c>
      <c r="R145" s="10" t="n">
        <f aca="false">IF(Q145="","",($W$2-Q145)/30.44)</f>
        <v>0.0328515111695138</v>
      </c>
      <c r="S145" s="6" t="s">
        <v>253</v>
      </c>
      <c r="T145" s="6" t="s">
        <v>838</v>
      </c>
      <c r="U145" s="6" t="s">
        <v>839</v>
      </c>
    </row>
    <row r="146" customFormat="false" ht="15" hidden="false" customHeight="false" outlineLevel="0" collapsed="false">
      <c r="A146" s="6" t="str">
        <f aca="false">B146&amp;"|"&amp;D146</f>
        <v>Nutrition|5</v>
      </c>
      <c r="B146" s="6" t="s">
        <v>65</v>
      </c>
      <c r="C146" s="6" t="s">
        <v>66</v>
      </c>
      <c r="D146" s="6" t="n">
        <v>5</v>
      </c>
      <c r="E146" s="6" t="s">
        <v>840</v>
      </c>
      <c r="F146" s="6" t="s">
        <v>841</v>
      </c>
      <c r="G146" s="6" t="s">
        <v>353</v>
      </c>
      <c r="H146" s="6" t="s">
        <v>117</v>
      </c>
      <c r="I146" s="6" t="s">
        <v>842</v>
      </c>
      <c r="J146" s="7" t="n">
        <v>16.99</v>
      </c>
      <c r="K146" s="6" t="n">
        <v>4.7</v>
      </c>
      <c r="L146" s="8" t="n">
        <v>32</v>
      </c>
      <c r="M146" s="8" t="n">
        <v>8226</v>
      </c>
      <c r="N146" s="6" t="s">
        <v>119</v>
      </c>
      <c r="O146" s="6" t="n">
        <v>416</v>
      </c>
      <c r="P146" s="6" t="n">
        <v>6.3</v>
      </c>
      <c r="Q146" s="9" t="n">
        <v>46273</v>
      </c>
      <c r="R146" s="10" t="n">
        <f aca="false">IF(Q146="","",($W$2-Q146)/30.44)</f>
        <v>0.9526938239159</v>
      </c>
      <c r="S146" s="6" t="s">
        <v>402</v>
      </c>
      <c r="T146" s="6" t="s">
        <v>843</v>
      </c>
      <c r="U146" s="6" t="s">
        <v>844</v>
      </c>
    </row>
    <row r="147" customFormat="false" ht="15" hidden="false" customHeight="false" outlineLevel="0" collapsed="false">
      <c r="A147" s="6" t="str">
        <f aca="false">B147&amp;"|"&amp;D147</f>
        <v>Nutrition|6</v>
      </c>
      <c r="B147" s="6" t="s">
        <v>65</v>
      </c>
      <c r="C147" s="6" t="s">
        <v>66</v>
      </c>
      <c r="D147" s="6" t="n">
        <v>6</v>
      </c>
      <c r="E147" s="6" t="s">
        <v>845</v>
      </c>
      <c r="F147" s="6" t="s">
        <v>846</v>
      </c>
      <c r="G147" s="6" t="s">
        <v>723</v>
      </c>
      <c r="H147" s="6" t="s">
        <v>117</v>
      </c>
      <c r="I147" s="6" t="s">
        <v>847</v>
      </c>
      <c r="J147" s="7" t="n">
        <v>1.99</v>
      </c>
      <c r="K147" s="6" t="n">
        <v>4.5</v>
      </c>
      <c r="L147" s="8" t="n">
        <v>4345</v>
      </c>
      <c r="M147" s="8" t="n">
        <v>8419</v>
      </c>
      <c r="N147" s="6" t="s">
        <v>127</v>
      </c>
      <c r="O147" s="6" t="n">
        <v>421</v>
      </c>
      <c r="P147" s="6" t="n">
        <v>25.5</v>
      </c>
      <c r="Q147" s="9" t="n">
        <v>42298</v>
      </c>
      <c r="R147" s="10" t="n">
        <f aca="false">IF(Q147="","",($W$2-Q147)/30.44)</f>
        <v>131.537450722733</v>
      </c>
      <c r="S147" s="6" t="s">
        <v>725</v>
      </c>
      <c r="T147" s="6" t="s">
        <v>848</v>
      </c>
      <c r="U147" s="6" t="s">
        <v>849</v>
      </c>
    </row>
    <row r="148" customFormat="false" ht="15" hidden="false" customHeight="false" outlineLevel="0" collapsed="false">
      <c r="A148" s="6" t="str">
        <f aca="false">B148&amp;"|"&amp;D148</f>
        <v>Nutrition|7</v>
      </c>
      <c r="B148" s="6" t="s">
        <v>65</v>
      </c>
      <c r="C148" s="6" t="s">
        <v>66</v>
      </c>
      <c r="D148" s="6" t="n">
        <v>7</v>
      </c>
      <c r="E148" s="6" t="s">
        <v>850</v>
      </c>
      <c r="F148" s="6" t="s">
        <v>851</v>
      </c>
      <c r="G148" s="6" t="s">
        <v>151</v>
      </c>
      <c r="H148" s="6" t="s">
        <v>152</v>
      </c>
      <c r="I148" s="6" t="s">
        <v>852</v>
      </c>
      <c r="J148" s="7" t="n">
        <v>9.99</v>
      </c>
      <c r="K148" s="6" t="n">
        <v>4.5</v>
      </c>
      <c r="L148" s="8" t="n">
        <v>211</v>
      </c>
      <c r="M148" s="8" t="n">
        <v>9789</v>
      </c>
      <c r="N148" s="6" t="s">
        <v>127</v>
      </c>
      <c r="O148" s="6" t="n">
        <v>100</v>
      </c>
      <c r="P148" s="6" t="n">
        <v>52.8</v>
      </c>
      <c r="Q148" s="9" t="n">
        <v>46216</v>
      </c>
      <c r="R148" s="10" t="n">
        <f aca="false">IF(Q148="","",($W$2-Q148)/30.44)</f>
        <v>2.82522996057819</v>
      </c>
      <c r="S148" s="6" t="s">
        <v>853</v>
      </c>
      <c r="T148" s="6" t="s">
        <v>854</v>
      </c>
      <c r="U148" s="6" t="s">
        <v>855</v>
      </c>
    </row>
    <row r="149" customFormat="false" ht="15" hidden="false" customHeight="false" outlineLevel="0" collapsed="false">
      <c r="A149" s="6" t="str">
        <f aca="false">B149&amp;"|"&amp;D149</f>
        <v>Nutrition|8</v>
      </c>
      <c r="B149" s="6" t="s">
        <v>65</v>
      </c>
      <c r="C149" s="6" t="s">
        <v>66</v>
      </c>
      <c r="D149" s="6" t="n">
        <v>8</v>
      </c>
      <c r="E149" s="6" t="s">
        <v>856</v>
      </c>
      <c r="F149" s="6" t="s">
        <v>857</v>
      </c>
      <c r="G149" s="6" t="s">
        <v>566</v>
      </c>
      <c r="H149" s="6" t="s">
        <v>117</v>
      </c>
      <c r="I149" s="6" t="s">
        <v>858</v>
      </c>
      <c r="J149" s="7" t="n">
        <v>2.99</v>
      </c>
      <c r="K149" s="6" t="n">
        <v>4.7</v>
      </c>
      <c r="L149" s="8" t="n">
        <v>1773</v>
      </c>
      <c r="M149" s="8" t="n">
        <v>10392</v>
      </c>
      <c r="N149" s="6" t="s">
        <v>127</v>
      </c>
      <c r="O149" s="6" t="n">
        <v>360</v>
      </c>
      <c r="P149" s="6" t="n">
        <v>245.2</v>
      </c>
      <c r="Q149" s="9" t="n">
        <v>45384</v>
      </c>
      <c r="R149" s="10" t="n">
        <f aca="false">IF(Q149="","",($W$2-Q149)/30.44)</f>
        <v>30.1576872536137</v>
      </c>
      <c r="S149" s="6" t="s">
        <v>212</v>
      </c>
      <c r="T149" s="6" t="s">
        <v>859</v>
      </c>
      <c r="U149" s="6" t="s">
        <v>860</v>
      </c>
    </row>
    <row r="150" customFormat="false" ht="15" hidden="false" customHeight="false" outlineLevel="0" collapsed="false">
      <c r="A150" s="6" t="str">
        <f aca="false">B150&amp;"|"&amp;D150</f>
        <v>Nutrition|9</v>
      </c>
      <c r="B150" s="6" t="s">
        <v>65</v>
      </c>
      <c r="C150" s="6" t="s">
        <v>66</v>
      </c>
      <c r="D150" s="6" t="n">
        <v>9</v>
      </c>
      <c r="E150" s="6" t="s">
        <v>861</v>
      </c>
      <c r="F150" s="6" t="s">
        <v>862</v>
      </c>
      <c r="G150" s="6" t="s">
        <v>566</v>
      </c>
      <c r="H150" s="6" t="s">
        <v>117</v>
      </c>
      <c r="I150" s="6" t="s">
        <v>863</v>
      </c>
      <c r="J150" s="7" t="n">
        <v>4.99</v>
      </c>
      <c r="K150" s="6" t="n">
        <v>4.6</v>
      </c>
      <c r="L150" s="8" t="n">
        <v>9361</v>
      </c>
      <c r="M150" s="8" t="n">
        <v>11226</v>
      </c>
      <c r="N150" s="6" t="s">
        <v>127</v>
      </c>
      <c r="O150" s="6" t="n">
        <v>641</v>
      </c>
      <c r="P150" s="6" t="n">
        <v>1.6</v>
      </c>
      <c r="Q150" s="9" t="n">
        <v>43543</v>
      </c>
      <c r="R150" s="10" t="n">
        <f aca="false">IF(Q150="","",($W$2-Q150)/30.44)</f>
        <v>90.6373193166886</v>
      </c>
      <c r="S150" s="6" t="s">
        <v>140</v>
      </c>
      <c r="T150" s="6" t="s">
        <v>864</v>
      </c>
      <c r="U150" s="6" t="s">
        <v>865</v>
      </c>
    </row>
    <row r="151" customFormat="false" ht="15" hidden="false" customHeight="false" outlineLevel="0" collapsed="false">
      <c r="A151" s="6" t="str">
        <f aca="false">B151&amp;"|"&amp;D151</f>
        <v>Nutrition|10</v>
      </c>
      <c r="B151" s="6" t="s">
        <v>65</v>
      </c>
      <c r="C151" s="6" t="s">
        <v>66</v>
      </c>
      <c r="D151" s="6" t="n">
        <v>10</v>
      </c>
      <c r="E151" s="6" t="s">
        <v>866</v>
      </c>
      <c r="F151" s="6" t="s">
        <v>867</v>
      </c>
      <c r="G151" s="6" t="s">
        <v>868</v>
      </c>
      <c r="H151" s="6" t="s">
        <v>205</v>
      </c>
      <c r="I151" s="6" t="s">
        <v>869</v>
      </c>
      <c r="J151" s="7" t="n">
        <v>0.99</v>
      </c>
      <c r="K151" s="6" t="n">
        <v>4.4</v>
      </c>
      <c r="L151" s="8" t="n">
        <v>31</v>
      </c>
      <c r="M151" s="8" t="n">
        <v>11863</v>
      </c>
      <c r="N151" s="6" t="s">
        <v>127</v>
      </c>
      <c r="O151" s="6" t="n">
        <v>241</v>
      </c>
      <c r="P151" s="6" t="n">
        <v>2.5</v>
      </c>
      <c r="Q151" s="9" t="n">
        <v>46184</v>
      </c>
      <c r="R151" s="10" t="n">
        <f aca="false">IF(Q151="","",($W$2-Q151)/30.44)</f>
        <v>3.87647831800263</v>
      </c>
      <c r="S151" s="6" t="s">
        <v>378</v>
      </c>
      <c r="T151" s="6" t="s">
        <v>870</v>
      </c>
      <c r="U151" s="6" t="s">
        <v>871</v>
      </c>
    </row>
    <row r="152" customFormat="false" ht="15" hidden="false" customHeight="false" outlineLevel="0" collapsed="false">
      <c r="A152" s="6" t="str">
        <f aca="false">B152&amp;"|"&amp;D152</f>
        <v>Nutrition|11</v>
      </c>
      <c r="B152" s="6" t="s">
        <v>65</v>
      </c>
      <c r="C152" s="6" t="s">
        <v>66</v>
      </c>
      <c r="D152" s="6" t="n">
        <v>11</v>
      </c>
      <c r="E152" s="6" t="s">
        <v>872</v>
      </c>
      <c r="F152" s="6" t="s">
        <v>873</v>
      </c>
      <c r="G152" s="6" t="s">
        <v>874</v>
      </c>
      <c r="H152" s="6" t="s">
        <v>117</v>
      </c>
      <c r="I152" s="6" t="s">
        <v>875</v>
      </c>
      <c r="J152" s="7" t="n">
        <v>14.99</v>
      </c>
      <c r="K152" s="6" t="n">
        <v>4.5</v>
      </c>
      <c r="L152" s="8" t="n">
        <v>19</v>
      </c>
      <c r="M152" s="8" t="n">
        <v>12769</v>
      </c>
      <c r="N152" s="6" t="s">
        <v>119</v>
      </c>
      <c r="O152" s="6" t="n">
        <v>315</v>
      </c>
      <c r="P152" s="6" t="n">
        <v>8.5</v>
      </c>
      <c r="Q152" s="9" t="n">
        <v>46287</v>
      </c>
      <c r="R152" s="10" t="n">
        <f aca="false">IF(Q152="","",($W$2-Q152)/30.44)</f>
        <v>0.492772667542707</v>
      </c>
      <c r="S152" s="6" t="s">
        <v>140</v>
      </c>
      <c r="T152" s="6" t="s">
        <v>876</v>
      </c>
      <c r="U152" s="6" t="s">
        <v>877</v>
      </c>
    </row>
    <row r="153" customFormat="false" ht="15" hidden="false" customHeight="false" outlineLevel="0" collapsed="false">
      <c r="A153" s="6" t="str">
        <f aca="false">B153&amp;"|"&amp;D153</f>
        <v>Nutrition|12</v>
      </c>
      <c r="B153" s="6" t="s">
        <v>65</v>
      </c>
      <c r="C153" s="6" t="s">
        <v>66</v>
      </c>
      <c r="D153" s="6" t="n">
        <v>12</v>
      </c>
      <c r="E153" s="6" t="s">
        <v>878</v>
      </c>
      <c r="F153" s="6" t="s">
        <v>879</v>
      </c>
      <c r="G153" s="6" t="s">
        <v>836</v>
      </c>
      <c r="H153" s="6" t="s">
        <v>117</v>
      </c>
      <c r="I153" s="6" t="s">
        <v>880</v>
      </c>
      <c r="J153" s="7" t="n">
        <v>1.99</v>
      </c>
      <c r="K153" s="6" t="n">
        <v>4.6</v>
      </c>
      <c r="L153" s="8" t="n">
        <v>975</v>
      </c>
      <c r="M153" s="8" t="n">
        <v>13417</v>
      </c>
      <c r="N153" s="6" t="s">
        <v>119</v>
      </c>
      <c r="O153" s="6" t="n">
        <v>332</v>
      </c>
      <c r="P153" s="6" t="n">
        <v>73.3</v>
      </c>
      <c r="Q153" s="9" t="n">
        <v>43816</v>
      </c>
      <c r="R153" s="10" t="n">
        <f aca="false">IF(Q153="","",($W$2-Q153)/30.44)</f>
        <v>81.6688567674113</v>
      </c>
      <c r="S153" s="6" t="s">
        <v>725</v>
      </c>
      <c r="T153" s="6" t="s">
        <v>881</v>
      </c>
      <c r="U153" s="6" t="s">
        <v>882</v>
      </c>
    </row>
    <row r="154" customFormat="false" ht="15" hidden="false" customHeight="false" outlineLevel="0" collapsed="false">
      <c r="A154" s="6" t="str">
        <f aca="false">B154&amp;"|"&amp;D154</f>
        <v>Nutrition|13</v>
      </c>
      <c r="B154" s="6" t="s">
        <v>65</v>
      </c>
      <c r="C154" s="6" t="s">
        <v>66</v>
      </c>
      <c r="D154" s="6" t="n">
        <v>13</v>
      </c>
      <c r="E154" s="6" t="s">
        <v>883</v>
      </c>
      <c r="F154" s="6" t="s">
        <v>884</v>
      </c>
      <c r="G154" s="6" t="s">
        <v>331</v>
      </c>
      <c r="H154" s="6" t="s">
        <v>117</v>
      </c>
      <c r="I154" s="6" t="s">
        <v>885</v>
      </c>
      <c r="J154" s="7" t="n">
        <v>4.99</v>
      </c>
      <c r="K154" s="6" t="n">
        <v>4.7</v>
      </c>
      <c r="L154" s="8" t="n">
        <v>1331</v>
      </c>
      <c r="M154" s="8" t="n">
        <v>13460</v>
      </c>
      <c r="N154" s="6" t="s">
        <v>119</v>
      </c>
      <c r="O154" s="6" t="n">
        <v>300</v>
      </c>
      <c r="P154" s="6" t="n">
        <v>2</v>
      </c>
      <c r="Q154" s="9" t="n">
        <v>45790</v>
      </c>
      <c r="R154" s="10" t="n">
        <f aca="false">IF(Q154="","",($W$2-Q154)/30.44)</f>
        <v>16.8199737187911</v>
      </c>
      <c r="S154" s="6" t="s">
        <v>402</v>
      </c>
      <c r="T154" s="6" t="s">
        <v>886</v>
      </c>
      <c r="U154" s="6" t="s">
        <v>887</v>
      </c>
    </row>
    <row r="155" customFormat="false" ht="15" hidden="false" customHeight="false" outlineLevel="0" collapsed="false">
      <c r="A155" s="6" t="str">
        <f aca="false">B155&amp;"|"&amp;D155</f>
        <v>Nutrition|14</v>
      </c>
      <c r="B155" s="6" t="s">
        <v>65</v>
      </c>
      <c r="C155" s="6" t="s">
        <v>66</v>
      </c>
      <c r="D155" s="6" t="n">
        <v>14</v>
      </c>
      <c r="E155" s="6" t="s">
        <v>888</v>
      </c>
      <c r="F155" s="6" t="s">
        <v>889</v>
      </c>
      <c r="G155" s="6" t="s">
        <v>890</v>
      </c>
      <c r="H155" s="6" t="s">
        <v>117</v>
      </c>
      <c r="I155" s="6" t="s">
        <v>891</v>
      </c>
      <c r="J155" s="7" t="n">
        <v>1.99</v>
      </c>
      <c r="K155" s="6" t="n">
        <v>4.8</v>
      </c>
      <c r="L155" s="8" t="n">
        <v>300</v>
      </c>
      <c r="M155" s="8" t="n">
        <v>14471</v>
      </c>
      <c r="N155" s="6" t="s">
        <v>119</v>
      </c>
      <c r="O155" s="6" t="n">
        <v>250</v>
      </c>
      <c r="P155" s="6" t="n">
        <v>325.8</v>
      </c>
      <c r="Q155" s="9" t="n">
        <v>46014</v>
      </c>
      <c r="R155" s="10" t="n">
        <f aca="false">IF(Q155="","",($W$2-Q155)/30.44)</f>
        <v>9.46123521681997</v>
      </c>
      <c r="S155" s="6" t="s">
        <v>892</v>
      </c>
      <c r="T155" s="6" t="s">
        <v>893</v>
      </c>
      <c r="U155" s="6" t="s">
        <v>894</v>
      </c>
    </row>
    <row r="156" customFormat="false" ht="15" hidden="false" customHeight="false" outlineLevel="0" collapsed="false">
      <c r="A156" s="6" t="str">
        <f aca="false">B156&amp;"|"&amp;D156</f>
        <v>Nutrition|15</v>
      </c>
      <c r="B156" s="6" t="s">
        <v>65</v>
      </c>
      <c r="C156" s="6" t="s">
        <v>66</v>
      </c>
      <c r="D156" s="6" t="n">
        <v>15</v>
      </c>
      <c r="E156" s="6" t="s">
        <v>895</v>
      </c>
      <c r="F156" s="6" t="s">
        <v>896</v>
      </c>
      <c r="G156" s="6" t="s">
        <v>359</v>
      </c>
      <c r="H156" s="6" t="s">
        <v>117</v>
      </c>
      <c r="I156" s="6" t="s">
        <v>897</v>
      </c>
      <c r="J156" s="7" t="n">
        <v>19.99</v>
      </c>
      <c r="K156" s="6" t="n">
        <v>4.7</v>
      </c>
      <c r="L156" s="8" t="n">
        <v>28944</v>
      </c>
      <c r="M156" s="8" t="n">
        <v>14821</v>
      </c>
      <c r="N156" s="6" t="s">
        <v>127</v>
      </c>
      <c r="O156" s="6" t="n">
        <v>658</v>
      </c>
      <c r="P156" s="6" t="n">
        <v>5.9</v>
      </c>
      <c r="Q156" s="9" t="n">
        <v>46000</v>
      </c>
      <c r="R156" s="10" t="n">
        <f aca="false">IF(Q156="","",($W$2-Q156)/30.44)</f>
        <v>9.92115637319317</v>
      </c>
      <c r="S156" s="6" t="s">
        <v>140</v>
      </c>
      <c r="T156" s="6" t="s">
        <v>898</v>
      </c>
      <c r="U156" s="6" t="s">
        <v>899</v>
      </c>
    </row>
    <row r="157" customFormat="false" ht="15" hidden="false" customHeight="false" outlineLevel="0" collapsed="false">
      <c r="A157" s="6" t="str">
        <f aca="false">B157&amp;"|"&amp;D157</f>
        <v>Nutrition|16</v>
      </c>
      <c r="B157" s="6" t="s">
        <v>65</v>
      </c>
      <c r="C157" s="6" t="s">
        <v>66</v>
      </c>
      <c r="D157" s="6" t="n">
        <v>16</v>
      </c>
      <c r="E157" s="6" t="s">
        <v>900</v>
      </c>
      <c r="F157" s="6" t="s">
        <v>901</v>
      </c>
      <c r="G157" s="6" t="s">
        <v>151</v>
      </c>
      <c r="H157" s="6" t="s">
        <v>152</v>
      </c>
      <c r="I157" s="6" t="s">
        <v>902</v>
      </c>
      <c r="J157" s="7" t="n">
        <v>4.99</v>
      </c>
      <c r="K157" s="6" t="n">
        <v>4.7</v>
      </c>
      <c r="L157" s="8" t="n">
        <v>19</v>
      </c>
      <c r="M157" s="8" t="n">
        <v>14879</v>
      </c>
      <c r="N157" s="6" t="s">
        <v>127</v>
      </c>
      <c r="O157" s="6" t="n">
        <v>171</v>
      </c>
      <c r="P157" s="6" t="n">
        <v>0.74</v>
      </c>
      <c r="Q157" s="9" t="n">
        <v>45905</v>
      </c>
      <c r="R157" s="10" t="n">
        <f aca="false">IF(Q157="","",($W$2-Q157)/30.44)</f>
        <v>13.042049934297</v>
      </c>
      <c r="S157" s="6" t="s">
        <v>135</v>
      </c>
      <c r="T157" s="6" t="s">
        <v>903</v>
      </c>
      <c r="U157" s="6" t="s">
        <v>904</v>
      </c>
    </row>
    <row r="158" customFormat="false" ht="15" hidden="false" customHeight="false" outlineLevel="0" collapsed="false">
      <c r="A158" s="6" t="str">
        <f aca="false">B158&amp;"|"&amp;D158</f>
        <v>Nutrition|17</v>
      </c>
      <c r="B158" s="6" t="s">
        <v>65</v>
      </c>
      <c r="C158" s="6" t="s">
        <v>66</v>
      </c>
      <c r="D158" s="6" t="n">
        <v>17</v>
      </c>
      <c r="E158" s="6" t="s">
        <v>905</v>
      </c>
      <c r="F158" s="6" t="s">
        <v>906</v>
      </c>
      <c r="G158" s="6" t="s">
        <v>486</v>
      </c>
      <c r="H158" s="6" t="s">
        <v>117</v>
      </c>
      <c r="I158" s="6" t="s">
        <v>907</v>
      </c>
      <c r="J158" s="7" t="n">
        <v>1.99</v>
      </c>
      <c r="K158" s="6" t="n">
        <v>4.7</v>
      </c>
      <c r="L158" s="8" t="n">
        <v>2377</v>
      </c>
      <c r="M158" s="8" t="n">
        <v>15028</v>
      </c>
      <c r="N158" s="6" t="s">
        <v>119</v>
      </c>
      <c r="O158" s="6" t="n">
        <v>255</v>
      </c>
      <c r="P158" s="6" t="n">
        <v>1.9</v>
      </c>
      <c r="Q158" s="9" t="n">
        <v>41514</v>
      </c>
      <c r="R158" s="10" t="n">
        <f aca="false">IF(Q158="","",($W$2-Q158)/30.44)</f>
        <v>157.293035479632</v>
      </c>
      <c r="S158" s="6" t="s">
        <v>140</v>
      </c>
      <c r="T158" s="6" t="s">
        <v>908</v>
      </c>
      <c r="U158" s="6" t="s">
        <v>909</v>
      </c>
    </row>
    <row r="159" customFormat="false" ht="15" hidden="false" customHeight="false" outlineLevel="0" collapsed="false">
      <c r="A159" s="6" t="str">
        <f aca="false">B159&amp;"|"&amp;D159</f>
        <v>Nutrition|18</v>
      </c>
      <c r="B159" s="6" t="s">
        <v>65</v>
      </c>
      <c r="C159" s="6" t="s">
        <v>66</v>
      </c>
      <c r="D159" s="6" t="n">
        <v>18</v>
      </c>
      <c r="E159" s="6" t="s">
        <v>910</v>
      </c>
      <c r="F159" s="6" t="s">
        <v>911</v>
      </c>
      <c r="G159" s="6" t="s">
        <v>353</v>
      </c>
      <c r="H159" s="6" t="s">
        <v>117</v>
      </c>
      <c r="I159" s="6" t="s">
        <v>912</v>
      </c>
      <c r="J159" s="7" t="n">
        <v>1.99</v>
      </c>
      <c r="K159" s="6" t="n">
        <v>4.6</v>
      </c>
      <c r="L159" s="8" t="n">
        <v>3837</v>
      </c>
      <c r="M159" s="8" t="n">
        <v>15624</v>
      </c>
      <c r="N159" s="6" t="s">
        <v>119</v>
      </c>
      <c r="O159" s="6" t="n">
        <v>336</v>
      </c>
      <c r="P159" s="6" t="n">
        <v>8.7</v>
      </c>
      <c r="Q159" s="9" t="n">
        <v>41270</v>
      </c>
      <c r="R159" s="10" t="n">
        <f aca="false">IF(Q159="","",($W$2-Q159)/30.44)</f>
        <v>165.308804204993</v>
      </c>
      <c r="S159" s="6" t="s">
        <v>140</v>
      </c>
      <c r="T159" s="6" t="s">
        <v>913</v>
      </c>
      <c r="U159" s="6" t="s">
        <v>914</v>
      </c>
    </row>
    <row r="160" customFormat="false" ht="15" hidden="false" customHeight="false" outlineLevel="0" collapsed="false">
      <c r="A160" s="6" t="str">
        <f aca="false">B160&amp;"|"&amp;D160</f>
        <v>Nutrition|19</v>
      </c>
      <c r="B160" s="6" t="s">
        <v>65</v>
      </c>
      <c r="C160" s="6" t="s">
        <v>66</v>
      </c>
      <c r="D160" s="6" t="n">
        <v>19</v>
      </c>
      <c r="E160" s="6" t="s">
        <v>915</v>
      </c>
      <c r="F160" s="6" t="s">
        <v>916</v>
      </c>
      <c r="G160" s="6" t="s">
        <v>917</v>
      </c>
      <c r="H160" s="6" t="s">
        <v>205</v>
      </c>
      <c r="I160" s="6" t="s">
        <v>918</v>
      </c>
      <c r="J160" s="7" t="n">
        <v>0.51</v>
      </c>
      <c r="K160" s="6" t="n">
        <v>4.4</v>
      </c>
      <c r="L160" s="8" t="n">
        <v>25</v>
      </c>
      <c r="M160" s="8" t="n">
        <v>16084</v>
      </c>
      <c r="N160" s="6" t="s">
        <v>119</v>
      </c>
      <c r="O160" s="6" t="n">
        <v>447</v>
      </c>
      <c r="P160" s="6" t="n">
        <v>36.3</v>
      </c>
      <c r="Q160" s="9" t="n">
        <v>46097</v>
      </c>
      <c r="R160" s="10" t="n">
        <f aca="false">IF(Q160="","",($W$2-Q160)/30.44)</f>
        <v>6.73455978975033</v>
      </c>
      <c r="S160" s="6" t="s">
        <v>378</v>
      </c>
      <c r="T160" s="6" t="s">
        <v>919</v>
      </c>
      <c r="U160" s="6" t="s">
        <v>920</v>
      </c>
    </row>
    <row r="161" customFormat="false" ht="15" hidden="false" customHeight="false" outlineLevel="0" collapsed="false">
      <c r="A161" s="6" t="str">
        <f aca="false">B161&amp;"|"&amp;D161</f>
        <v>Nutrition|20</v>
      </c>
      <c r="B161" s="6" t="s">
        <v>65</v>
      </c>
      <c r="C161" s="6" t="s">
        <v>66</v>
      </c>
      <c r="D161" s="6" t="n">
        <v>20</v>
      </c>
      <c r="E161" s="6" t="s">
        <v>921</v>
      </c>
      <c r="F161" s="6" t="s">
        <v>916</v>
      </c>
      <c r="G161" s="6" t="s">
        <v>922</v>
      </c>
      <c r="H161" s="6" t="s">
        <v>205</v>
      </c>
      <c r="I161" s="6" t="s">
        <v>923</v>
      </c>
      <c r="J161" s="7" t="n">
        <v>0.51</v>
      </c>
      <c r="K161" s="6" t="n">
        <v>4.4</v>
      </c>
      <c r="L161" s="8" t="n">
        <v>65</v>
      </c>
      <c r="M161" s="8" t="n">
        <v>17516</v>
      </c>
      <c r="N161" s="6" t="s">
        <v>119</v>
      </c>
      <c r="O161" s="6" t="n">
        <v>131</v>
      </c>
      <c r="P161" s="6" t="n">
        <v>1.1</v>
      </c>
      <c r="Q161" s="9" t="n">
        <v>45912</v>
      </c>
      <c r="R161" s="10" t="n">
        <f aca="false">IF(Q161="","",($W$2-Q161)/30.44)</f>
        <v>12.8120893561104</v>
      </c>
      <c r="S161" s="6" t="s">
        <v>378</v>
      </c>
      <c r="T161" s="6" t="s">
        <v>924</v>
      </c>
      <c r="U161" s="6" t="s">
        <v>925</v>
      </c>
    </row>
    <row r="162" customFormat="false" ht="15" hidden="false" customHeight="false" outlineLevel="0" collapsed="false">
      <c r="A162" s="6" t="str">
        <f aca="false">B162&amp;"|"&amp;D162</f>
        <v>Quick &amp; Easy (Cookbooks)|1</v>
      </c>
      <c r="B162" s="6" t="s">
        <v>68</v>
      </c>
      <c r="C162" s="6" t="s">
        <v>69</v>
      </c>
      <c r="D162" s="6" t="n">
        <v>1</v>
      </c>
      <c r="E162" s="6" t="s">
        <v>926</v>
      </c>
      <c r="F162" s="6" t="s">
        <v>927</v>
      </c>
      <c r="G162" s="6" t="s">
        <v>928</v>
      </c>
      <c r="H162" s="6" t="s">
        <v>117</v>
      </c>
      <c r="I162" s="6" t="s">
        <v>929</v>
      </c>
      <c r="J162" s="7" t="n">
        <v>0.99</v>
      </c>
      <c r="K162" s="6" t="n">
        <v>4.7</v>
      </c>
      <c r="L162" s="8" t="n">
        <v>185</v>
      </c>
      <c r="M162" s="8" t="n">
        <v>581</v>
      </c>
      <c r="N162" s="6" t="s">
        <v>119</v>
      </c>
      <c r="O162" s="6" t="n">
        <v>254</v>
      </c>
      <c r="P162" s="6" t="n">
        <v>94.4</v>
      </c>
      <c r="Q162" s="9" t="n">
        <v>46198</v>
      </c>
      <c r="R162" s="10" t="n">
        <f aca="false">IF(Q162="","",($W$2-Q162)/30.44)</f>
        <v>3.41655716162944</v>
      </c>
      <c r="S162" s="6" t="s">
        <v>212</v>
      </c>
      <c r="T162" s="6" t="s">
        <v>930</v>
      </c>
      <c r="U162" s="6" t="s">
        <v>931</v>
      </c>
    </row>
    <row r="163" customFormat="false" ht="15" hidden="false" customHeight="false" outlineLevel="0" collapsed="false">
      <c r="A163" s="6" t="str">
        <f aca="false">B163&amp;"|"&amp;D163</f>
        <v>Quick &amp; Easy (Cookbooks)|2</v>
      </c>
      <c r="B163" s="6" t="s">
        <v>68</v>
      </c>
      <c r="C163" s="6" t="s">
        <v>69</v>
      </c>
      <c r="D163" s="6" t="n">
        <v>2</v>
      </c>
      <c r="E163" s="6" t="s">
        <v>932</v>
      </c>
      <c r="F163" s="6" t="s">
        <v>933</v>
      </c>
      <c r="G163" s="6" t="s">
        <v>933</v>
      </c>
      <c r="H163" s="6" t="s">
        <v>117</v>
      </c>
      <c r="I163" s="6" t="s">
        <v>934</v>
      </c>
      <c r="J163" s="7" t="n">
        <v>3.99</v>
      </c>
      <c r="K163" s="6" t="n">
        <v>4.7</v>
      </c>
      <c r="L163" s="8" t="n">
        <v>1256</v>
      </c>
      <c r="M163" s="8" t="n">
        <v>3689</v>
      </c>
      <c r="N163" s="6" t="s">
        <v>119</v>
      </c>
      <c r="O163" s="6" t="n">
        <v>544</v>
      </c>
      <c r="P163" s="6" t="n">
        <v>608.3</v>
      </c>
      <c r="Q163" s="9" t="n">
        <v>44229</v>
      </c>
      <c r="R163" s="10" t="n">
        <f aca="false">IF(Q163="","",($W$2-Q163)/30.44)</f>
        <v>68.1011826544021</v>
      </c>
      <c r="S163" s="6" t="s">
        <v>892</v>
      </c>
      <c r="T163" s="6" t="s">
        <v>935</v>
      </c>
      <c r="U163" s="6" t="s">
        <v>936</v>
      </c>
    </row>
    <row r="164" customFormat="false" ht="15" hidden="false" customHeight="false" outlineLevel="0" collapsed="false">
      <c r="A164" s="6" t="str">
        <f aca="false">B164&amp;"|"&amp;D164</f>
        <v>Quick &amp; Easy (Cookbooks)|3</v>
      </c>
      <c r="B164" s="6" t="s">
        <v>68</v>
      </c>
      <c r="C164" s="6" t="s">
        <v>69</v>
      </c>
      <c r="D164" s="6" t="n">
        <v>3</v>
      </c>
      <c r="E164" s="6" t="s">
        <v>937</v>
      </c>
      <c r="F164" s="6" t="s">
        <v>938</v>
      </c>
      <c r="G164" s="6" t="s">
        <v>939</v>
      </c>
      <c r="H164" s="6" t="s">
        <v>117</v>
      </c>
      <c r="I164" s="6" t="s">
        <v>940</v>
      </c>
      <c r="J164" s="7" t="n">
        <v>0.5</v>
      </c>
      <c r="K164" s="6" t="n">
        <v>4.3</v>
      </c>
      <c r="L164" s="8" t="n">
        <v>73</v>
      </c>
      <c r="M164" s="8" t="n">
        <v>4006</v>
      </c>
      <c r="N164" s="6" t="s">
        <v>119</v>
      </c>
      <c r="O164" s="6" t="n">
        <v>183</v>
      </c>
      <c r="P164" s="6" t="n">
        <v>10.3</v>
      </c>
      <c r="Q164" s="9" t="n">
        <v>42493</v>
      </c>
      <c r="R164" s="10" t="n">
        <f aca="false">IF(Q164="","",($W$2-Q164)/30.44)</f>
        <v>125.131406044678</v>
      </c>
      <c r="S164" s="6" t="s">
        <v>135</v>
      </c>
      <c r="T164" s="6" t="s">
        <v>941</v>
      </c>
      <c r="U164" s="6" t="s">
        <v>942</v>
      </c>
    </row>
    <row r="165" customFormat="false" ht="15" hidden="false" customHeight="false" outlineLevel="0" collapsed="false">
      <c r="A165" s="6" t="str">
        <f aca="false">B165&amp;"|"&amp;D165</f>
        <v>Quick &amp; Easy (Cookbooks)|4</v>
      </c>
      <c r="B165" s="6" t="s">
        <v>68</v>
      </c>
      <c r="C165" s="6" t="s">
        <v>69</v>
      </c>
      <c r="D165" s="6" t="n">
        <v>4</v>
      </c>
      <c r="E165" s="6" t="s">
        <v>943</v>
      </c>
      <c r="F165" s="6" t="s">
        <v>944</v>
      </c>
      <c r="G165" s="6" t="s">
        <v>945</v>
      </c>
      <c r="H165" s="6" t="s">
        <v>117</v>
      </c>
      <c r="I165" s="6" t="s">
        <v>946</v>
      </c>
      <c r="J165" s="7" t="n">
        <v>1.99</v>
      </c>
      <c r="K165" s="6" t="n">
        <v>4.5</v>
      </c>
      <c r="L165" s="8" t="n">
        <v>41</v>
      </c>
      <c r="M165" s="8" t="n">
        <v>4043</v>
      </c>
      <c r="N165" s="6" t="s">
        <v>127</v>
      </c>
      <c r="O165" s="6" t="n">
        <v>1988</v>
      </c>
      <c r="P165" s="6" t="n">
        <v>4.8</v>
      </c>
      <c r="Q165" s="9" t="n">
        <v>42051</v>
      </c>
      <c r="R165" s="10" t="n">
        <f aca="false">IF(Q165="","",($W$2-Q165)/30.44)</f>
        <v>139.651773981603</v>
      </c>
      <c r="S165" s="6" t="s">
        <v>135</v>
      </c>
      <c r="T165" s="6" t="s">
        <v>947</v>
      </c>
      <c r="U165" s="6" t="s">
        <v>948</v>
      </c>
    </row>
    <row r="166" customFormat="false" ht="15" hidden="false" customHeight="false" outlineLevel="0" collapsed="false">
      <c r="A166" s="6" t="str">
        <f aca="false">B166&amp;"|"&amp;D166</f>
        <v>Quick &amp; Easy (Cookbooks)|5</v>
      </c>
      <c r="B166" s="6" t="s">
        <v>68</v>
      </c>
      <c r="C166" s="6" t="s">
        <v>69</v>
      </c>
      <c r="D166" s="6" t="n">
        <v>5</v>
      </c>
      <c r="E166" s="6" t="s">
        <v>949</v>
      </c>
      <c r="F166" s="6" t="s">
        <v>857</v>
      </c>
      <c r="G166" s="6" t="s">
        <v>566</v>
      </c>
      <c r="H166" s="6" t="s">
        <v>117</v>
      </c>
      <c r="I166" s="6" t="s">
        <v>950</v>
      </c>
      <c r="J166" s="7" t="n">
        <v>16.99</v>
      </c>
      <c r="K166" s="6" t="n">
        <v>4.9</v>
      </c>
      <c r="L166" s="8" t="n">
        <v>357</v>
      </c>
      <c r="M166" s="8" t="n">
        <v>4167</v>
      </c>
      <c r="N166" s="6" t="s">
        <v>119</v>
      </c>
      <c r="O166" s="6" t="n">
        <v>360</v>
      </c>
      <c r="P166" s="6" t="n">
        <v>234.1</v>
      </c>
      <c r="Q166" s="9" t="n">
        <v>46294</v>
      </c>
      <c r="R166" s="10" t="n">
        <f aca="false">IF(Q166="","",($W$2-Q166)/30.44)</f>
        <v>0.26281208935611</v>
      </c>
      <c r="S166" s="6" t="s">
        <v>212</v>
      </c>
      <c r="T166" s="6" t="s">
        <v>951</v>
      </c>
      <c r="U166" s="6" t="s">
        <v>952</v>
      </c>
    </row>
    <row r="167" customFormat="false" ht="15" hidden="false" customHeight="false" outlineLevel="0" collapsed="false">
      <c r="A167" s="6" t="str">
        <f aca="false">B167&amp;"|"&amp;D167</f>
        <v>Quick &amp; Easy (Cookbooks)|6</v>
      </c>
      <c r="B167" s="6" t="s">
        <v>68</v>
      </c>
      <c r="C167" s="6" t="s">
        <v>69</v>
      </c>
      <c r="D167" s="6" t="n">
        <v>6</v>
      </c>
      <c r="E167" s="6" t="s">
        <v>953</v>
      </c>
      <c r="F167" s="6" t="s">
        <v>954</v>
      </c>
      <c r="G167" s="6" t="s">
        <v>890</v>
      </c>
      <c r="H167" s="6" t="s">
        <v>117</v>
      </c>
      <c r="I167" s="6" t="s">
        <v>955</v>
      </c>
      <c r="J167" s="7" t="n">
        <v>12.99</v>
      </c>
      <c r="K167" s="6" t="n">
        <v>4.9</v>
      </c>
      <c r="L167" s="8" t="n">
        <v>176</v>
      </c>
      <c r="M167" s="8" t="n">
        <v>5998</v>
      </c>
      <c r="N167" s="6" t="s">
        <v>119</v>
      </c>
      <c r="O167" s="6" t="n">
        <v>248</v>
      </c>
      <c r="P167" s="6" t="n">
        <v>129.8</v>
      </c>
      <c r="Q167" s="9" t="n">
        <v>46231</v>
      </c>
      <c r="R167" s="10" t="n">
        <f aca="false">IF(Q167="","",($W$2-Q167)/30.44)</f>
        <v>2.33245729303548</v>
      </c>
      <c r="S167" s="6" t="s">
        <v>956</v>
      </c>
      <c r="T167" s="6" t="s">
        <v>957</v>
      </c>
      <c r="U167" s="6" t="s">
        <v>958</v>
      </c>
    </row>
    <row r="168" customFormat="false" ht="15" hidden="false" customHeight="false" outlineLevel="0" collapsed="false">
      <c r="A168" s="6" t="str">
        <f aca="false">B168&amp;"|"&amp;D168</f>
        <v>Quick &amp; Easy (Cookbooks)|7</v>
      </c>
      <c r="B168" s="6" t="s">
        <v>68</v>
      </c>
      <c r="C168" s="6" t="s">
        <v>69</v>
      </c>
      <c r="D168" s="6" t="n">
        <v>7</v>
      </c>
      <c r="E168" s="6" t="s">
        <v>959</v>
      </c>
      <c r="F168" s="6" t="s">
        <v>960</v>
      </c>
      <c r="G168" s="6" t="s">
        <v>961</v>
      </c>
      <c r="H168" s="6" t="s">
        <v>117</v>
      </c>
      <c r="I168" s="6" t="s">
        <v>962</v>
      </c>
      <c r="J168" s="7" t="n">
        <v>14.99</v>
      </c>
      <c r="K168" s="6" t="n">
        <v>4.6</v>
      </c>
      <c r="L168" s="8" t="n">
        <v>89</v>
      </c>
      <c r="M168" s="8" t="n">
        <v>6659</v>
      </c>
      <c r="N168" s="6" t="s">
        <v>119</v>
      </c>
      <c r="O168" s="6" t="n">
        <v>290</v>
      </c>
      <c r="P168" s="6" t="n">
        <v>432.1</v>
      </c>
      <c r="Q168" s="9" t="n">
        <v>46301</v>
      </c>
      <c r="R168" s="10" t="n">
        <f aca="false">IF(Q168="","",($W$2-Q168)/30.44)</f>
        <v>0.0328515111695138</v>
      </c>
      <c r="S168" s="6" t="s">
        <v>212</v>
      </c>
      <c r="T168" s="6" t="s">
        <v>963</v>
      </c>
      <c r="U168" s="6" t="s">
        <v>964</v>
      </c>
    </row>
    <row r="169" customFormat="false" ht="15" hidden="false" customHeight="false" outlineLevel="0" collapsed="false">
      <c r="A169" s="6" t="str">
        <f aca="false">B169&amp;"|"&amp;D169</f>
        <v>Quick &amp; Easy (Cookbooks)|8</v>
      </c>
      <c r="B169" s="6" t="s">
        <v>68</v>
      </c>
      <c r="C169" s="6" t="s">
        <v>69</v>
      </c>
      <c r="D169" s="6" t="n">
        <v>8</v>
      </c>
      <c r="E169" s="6" t="s">
        <v>965</v>
      </c>
      <c r="F169" s="6" t="s">
        <v>933</v>
      </c>
      <c r="G169" s="6" t="s">
        <v>933</v>
      </c>
      <c r="H169" s="6" t="s">
        <v>117</v>
      </c>
      <c r="I169" s="6" t="s">
        <v>966</v>
      </c>
      <c r="J169" s="7" t="n">
        <v>3.99</v>
      </c>
      <c r="K169" s="6" t="n">
        <v>4.4</v>
      </c>
      <c r="L169" s="8" t="n">
        <v>1312</v>
      </c>
      <c r="M169" s="8" t="n">
        <v>7343</v>
      </c>
      <c r="N169" s="6" t="s">
        <v>119</v>
      </c>
      <c r="O169" s="6" t="n">
        <v>320</v>
      </c>
      <c r="P169" s="6" t="n">
        <v>475.2</v>
      </c>
      <c r="Q169" s="9" t="n">
        <v>44257</v>
      </c>
      <c r="R169" s="10" t="n">
        <f aca="false">IF(Q169="","",($W$2-Q169)/30.44)</f>
        <v>67.1813403416557</v>
      </c>
      <c r="S169" s="6" t="s">
        <v>725</v>
      </c>
      <c r="T169" s="6" t="s">
        <v>967</v>
      </c>
      <c r="U169" s="6" t="s">
        <v>968</v>
      </c>
    </row>
    <row r="170" customFormat="false" ht="15" hidden="false" customHeight="false" outlineLevel="0" collapsed="false">
      <c r="A170" s="6" t="str">
        <f aca="false">B170&amp;"|"&amp;D170</f>
        <v>Quick &amp; Easy (Cookbooks)|9</v>
      </c>
      <c r="B170" s="6" t="s">
        <v>68</v>
      </c>
      <c r="C170" s="6" t="s">
        <v>69</v>
      </c>
      <c r="D170" s="6" t="n">
        <v>9</v>
      </c>
      <c r="E170" s="6" t="s">
        <v>969</v>
      </c>
      <c r="F170" s="6" t="s">
        <v>933</v>
      </c>
      <c r="G170" s="6" t="s">
        <v>933</v>
      </c>
      <c r="H170" s="6" t="s">
        <v>117</v>
      </c>
      <c r="I170" s="6" t="s">
        <v>970</v>
      </c>
      <c r="J170" s="7" t="n">
        <v>3.99</v>
      </c>
      <c r="K170" s="6" t="n">
        <v>4.5</v>
      </c>
      <c r="L170" s="8" t="n">
        <v>2203</v>
      </c>
      <c r="M170" s="8" t="n">
        <v>7403</v>
      </c>
      <c r="N170" s="6" t="s">
        <v>119</v>
      </c>
      <c r="O170" s="6" t="n">
        <v>192</v>
      </c>
      <c r="P170" s="6" t="n">
        <v>251</v>
      </c>
      <c r="Q170" s="9" t="n">
        <v>43830</v>
      </c>
      <c r="R170" s="10" t="n">
        <f aca="false">IF(Q170="","",($W$2-Q170)/30.44)</f>
        <v>81.2089356110381</v>
      </c>
      <c r="S170" s="6" t="s">
        <v>892</v>
      </c>
      <c r="T170" s="6" t="s">
        <v>971</v>
      </c>
      <c r="U170" s="6" t="s">
        <v>972</v>
      </c>
    </row>
    <row r="171" customFormat="false" ht="15" hidden="false" customHeight="false" outlineLevel="0" collapsed="false">
      <c r="A171" s="6" t="str">
        <f aca="false">B171&amp;"|"&amp;D171</f>
        <v>Quick &amp; Easy (Cookbooks)|10</v>
      </c>
      <c r="B171" s="6" t="s">
        <v>68</v>
      </c>
      <c r="C171" s="6" t="s">
        <v>69</v>
      </c>
      <c r="D171" s="6" t="n">
        <v>10</v>
      </c>
      <c r="E171" s="6" t="s">
        <v>973</v>
      </c>
      <c r="F171" s="6" t="s">
        <v>933</v>
      </c>
      <c r="G171" s="6" t="s">
        <v>933</v>
      </c>
      <c r="H171" s="6" t="s">
        <v>117</v>
      </c>
      <c r="I171" s="6" t="s">
        <v>974</v>
      </c>
      <c r="J171" s="7" t="n">
        <v>5.99</v>
      </c>
      <c r="K171" s="6" t="n">
        <v>4.6</v>
      </c>
      <c r="L171" s="8" t="n">
        <v>821</v>
      </c>
      <c r="M171" s="8" t="n">
        <v>8316</v>
      </c>
      <c r="N171" s="6" t="s">
        <v>119</v>
      </c>
      <c r="O171" s="6" t="n">
        <v>496</v>
      </c>
      <c r="P171" s="6" t="n">
        <v>455.7</v>
      </c>
      <c r="Q171" s="9" t="n">
        <v>45384</v>
      </c>
      <c r="R171" s="10" t="n">
        <f aca="false">IF(Q171="","",($W$2-Q171)/30.44)</f>
        <v>30.1576872536137</v>
      </c>
      <c r="S171" s="6" t="s">
        <v>853</v>
      </c>
      <c r="T171" s="6" t="s">
        <v>975</v>
      </c>
      <c r="U171" s="6" t="s">
        <v>976</v>
      </c>
    </row>
    <row r="172" customFormat="false" ht="15" hidden="false" customHeight="false" outlineLevel="0" collapsed="false">
      <c r="A172" s="6" t="str">
        <f aca="false">B172&amp;"|"&amp;D172</f>
        <v>Quick &amp; Easy (Cookbooks)|11</v>
      </c>
      <c r="B172" s="6" t="s">
        <v>68</v>
      </c>
      <c r="C172" s="6" t="s">
        <v>69</v>
      </c>
      <c r="D172" s="6" t="n">
        <v>11</v>
      </c>
      <c r="E172" s="6" t="s">
        <v>977</v>
      </c>
      <c r="F172" s="6" t="s">
        <v>978</v>
      </c>
      <c r="G172" s="6" t="s">
        <v>979</v>
      </c>
      <c r="H172" s="6" t="s">
        <v>117</v>
      </c>
      <c r="I172" s="6" t="s">
        <v>980</v>
      </c>
      <c r="J172" s="7" t="n">
        <v>1.99</v>
      </c>
      <c r="K172" s="6" t="n">
        <v>4.4</v>
      </c>
      <c r="L172" s="8" t="n">
        <v>278</v>
      </c>
      <c r="M172" s="8" t="n">
        <v>9003</v>
      </c>
      <c r="N172" s="6" t="s">
        <v>119</v>
      </c>
      <c r="O172" s="6" t="n">
        <v>748</v>
      </c>
      <c r="P172" s="6" t="n">
        <v>435.3</v>
      </c>
      <c r="Q172" s="9" t="n">
        <v>44859</v>
      </c>
      <c r="R172" s="10" t="n">
        <f aca="false">IF(Q172="","",($W$2-Q172)/30.44)</f>
        <v>47.4047306176084</v>
      </c>
      <c r="S172" s="6" t="s">
        <v>892</v>
      </c>
      <c r="T172" s="6" t="s">
        <v>981</v>
      </c>
      <c r="U172" s="6" t="s">
        <v>982</v>
      </c>
    </row>
    <row r="173" customFormat="false" ht="15" hidden="false" customHeight="false" outlineLevel="0" collapsed="false">
      <c r="A173" s="6" t="str">
        <f aca="false">B173&amp;"|"&amp;D173</f>
        <v>Quick &amp; Easy (Cookbooks)|12</v>
      </c>
      <c r="B173" s="6" t="s">
        <v>68</v>
      </c>
      <c r="C173" s="6" t="s">
        <v>69</v>
      </c>
      <c r="D173" s="6" t="n">
        <v>12</v>
      </c>
      <c r="E173" s="6" t="s">
        <v>856</v>
      </c>
      <c r="F173" s="6" t="s">
        <v>857</v>
      </c>
      <c r="G173" s="6" t="s">
        <v>566</v>
      </c>
      <c r="H173" s="6" t="s">
        <v>117</v>
      </c>
      <c r="I173" s="6" t="s">
        <v>858</v>
      </c>
      <c r="J173" s="7" t="n">
        <v>2.99</v>
      </c>
      <c r="K173" s="6" t="n">
        <v>4.7</v>
      </c>
      <c r="L173" s="8" t="n">
        <v>1773</v>
      </c>
      <c r="M173" s="8" t="n">
        <v>10392</v>
      </c>
      <c r="N173" s="6" t="s">
        <v>127</v>
      </c>
      <c r="O173" s="6" t="n">
        <v>360</v>
      </c>
      <c r="P173" s="6" t="n">
        <v>245.2</v>
      </c>
      <c r="Q173" s="9" t="n">
        <v>45384</v>
      </c>
      <c r="R173" s="10" t="n">
        <f aca="false">IF(Q173="","",($W$2-Q173)/30.44)</f>
        <v>30.1576872536137</v>
      </c>
      <c r="S173" s="6" t="s">
        <v>212</v>
      </c>
      <c r="T173" s="6" t="s">
        <v>859</v>
      </c>
      <c r="U173" s="6" t="s">
        <v>860</v>
      </c>
    </row>
    <row r="174" customFormat="false" ht="15" hidden="false" customHeight="false" outlineLevel="0" collapsed="false">
      <c r="A174" s="6" t="str">
        <f aca="false">B174&amp;"|"&amp;D174</f>
        <v>Quick &amp; Easy (Cookbooks)|13</v>
      </c>
      <c r="B174" s="6" t="s">
        <v>68</v>
      </c>
      <c r="C174" s="6" t="s">
        <v>69</v>
      </c>
      <c r="D174" s="6" t="n">
        <v>13</v>
      </c>
      <c r="E174" s="6" t="s">
        <v>983</v>
      </c>
      <c r="F174" s="6" t="s">
        <v>984</v>
      </c>
      <c r="G174" s="6" t="s">
        <v>985</v>
      </c>
      <c r="H174" s="6" t="s">
        <v>117</v>
      </c>
      <c r="I174" s="6" t="s">
        <v>986</v>
      </c>
      <c r="J174" s="7" t="n">
        <v>1.99</v>
      </c>
      <c r="K174" s="6" t="n">
        <v>4.8</v>
      </c>
      <c r="L174" s="8" t="n">
        <v>334</v>
      </c>
      <c r="M174" s="8" t="n">
        <v>10889</v>
      </c>
      <c r="N174" s="6" t="s">
        <v>119</v>
      </c>
      <c r="O174" s="6" t="n">
        <v>272</v>
      </c>
      <c r="P174" s="6" t="n">
        <v>176.2</v>
      </c>
      <c r="Q174" s="9" t="n">
        <v>45211</v>
      </c>
      <c r="R174" s="10" t="n">
        <f aca="false">IF(Q174="","",($W$2-Q174)/30.44)</f>
        <v>35.8409986859396</v>
      </c>
      <c r="S174" s="6" t="s">
        <v>212</v>
      </c>
      <c r="T174" s="6" t="s">
        <v>987</v>
      </c>
      <c r="U174" s="6" t="s">
        <v>988</v>
      </c>
    </row>
    <row r="175" customFormat="false" ht="15" hidden="false" customHeight="false" outlineLevel="0" collapsed="false">
      <c r="A175" s="6" t="str">
        <f aca="false">B175&amp;"|"&amp;D175</f>
        <v>Quick &amp; Easy (Cookbooks)|14</v>
      </c>
      <c r="B175" s="6" t="s">
        <v>68</v>
      </c>
      <c r="C175" s="6" t="s">
        <v>69</v>
      </c>
      <c r="D175" s="6" t="n">
        <v>14</v>
      </c>
      <c r="E175" s="6" t="s">
        <v>989</v>
      </c>
      <c r="F175" s="6" t="s">
        <v>933</v>
      </c>
      <c r="G175" s="6" t="s">
        <v>933</v>
      </c>
      <c r="H175" s="6" t="s">
        <v>117</v>
      </c>
      <c r="I175" s="6" t="s">
        <v>990</v>
      </c>
      <c r="J175" s="7" t="n">
        <v>5.99</v>
      </c>
      <c r="K175" s="6" t="n">
        <v>4.6</v>
      </c>
      <c r="L175" s="8" t="n">
        <v>120</v>
      </c>
      <c r="M175" s="8" t="n">
        <v>10958</v>
      </c>
      <c r="N175" s="6" t="s">
        <v>119</v>
      </c>
      <c r="O175" s="6" t="n">
        <v>360</v>
      </c>
      <c r="P175" s="6" t="n">
        <v>198.2</v>
      </c>
      <c r="Q175" s="9" t="n">
        <v>45566</v>
      </c>
      <c r="R175" s="10" t="n">
        <f aca="false">IF(Q175="","",($W$2-Q175)/30.44)</f>
        <v>24.1787122207622</v>
      </c>
      <c r="S175" s="6" t="s">
        <v>725</v>
      </c>
      <c r="T175" s="6" t="s">
        <v>991</v>
      </c>
      <c r="U175" s="6" t="s">
        <v>992</v>
      </c>
    </row>
    <row r="176" customFormat="false" ht="15" hidden="false" customHeight="false" outlineLevel="0" collapsed="false">
      <c r="A176" s="6" t="str">
        <f aca="false">B176&amp;"|"&amp;D176</f>
        <v>Quick &amp; Easy (Cookbooks)|15</v>
      </c>
      <c r="B176" s="6" t="s">
        <v>68</v>
      </c>
      <c r="C176" s="6" t="s">
        <v>69</v>
      </c>
      <c r="D176" s="6" t="n">
        <v>15</v>
      </c>
      <c r="E176" s="6" t="s">
        <v>993</v>
      </c>
      <c r="F176" s="6" t="s">
        <v>978</v>
      </c>
      <c r="G176" s="6" t="s">
        <v>979</v>
      </c>
      <c r="H176" s="6" t="s">
        <v>117</v>
      </c>
      <c r="I176" s="6" t="s">
        <v>994</v>
      </c>
      <c r="J176" s="7" t="n">
        <v>4.99</v>
      </c>
      <c r="K176" s="6" t="n">
        <v>4.6</v>
      </c>
      <c r="L176" s="8" t="n">
        <v>198</v>
      </c>
      <c r="M176" s="8" t="n">
        <v>11011</v>
      </c>
      <c r="N176" s="6" t="s">
        <v>119</v>
      </c>
      <c r="O176" s="6" t="n">
        <v>359</v>
      </c>
      <c r="P176" s="6" t="n">
        <v>72.5</v>
      </c>
      <c r="Q176" s="9" t="n">
        <v>45216</v>
      </c>
      <c r="R176" s="10" t="n">
        <f aca="false">IF(Q176="","",($W$2-Q176)/30.44)</f>
        <v>35.676741130092</v>
      </c>
      <c r="S176" s="6" t="s">
        <v>212</v>
      </c>
      <c r="T176" s="6" t="s">
        <v>995</v>
      </c>
      <c r="U176" s="6" t="s">
        <v>996</v>
      </c>
    </row>
    <row r="177" customFormat="false" ht="15" hidden="false" customHeight="false" outlineLevel="0" collapsed="false">
      <c r="A177" s="6" t="str">
        <f aca="false">B177&amp;"|"&amp;D177</f>
        <v>Quick &amp; Easy (Cookbooks)|16</v>
      </c>
      <c r="B177" s="6" t="s">
        <v>68</v>
      </c>
      <c r="C177" s="6" t="s">
        <v>69</v>
      </c>
      <c r="D177" s="6" t="n">
        <v>16</v>
      </c>
      <c r="E177" s="6" t="s">
        <v>997</v>
      </c>
      <c r="F177" s="6" t="s">
        <v>998</v>
      </c>
      <c r="G177" s="6" t="s">
        <v>999</v>
      </c>
      <c r="H177" s="6" t="s">
        <v>117</v>
      </c>
      <c r="I177" s="6" t="s">
        <v>1000</v>
      </c>
      <c r="J177" s="7" t="n">
        <v>14.99</v>
      </c>
      <c r="K177" s="6" t="n">
        <v>4.7</v>
      </c>
      <c r="L177" s="8" t="n">
        <v>62</v>
      </c>
      <c r="M177" s="8" t="n">
        <v>12143</v>
      </c>
      <c r="N177" s="6" t="s">
        <v>119</v>
      </c>
      <c r="O177" s="6" t="n">
        <v>288</v>
      </c>
      <c r="P177" s="6" t="n">
        <v>236.3</v>
      </c>
      <c r="Q177" s="9" t="n">
        <v>46154</v>
      </c>
      <c r="R177" s="10" t="n">
        <f aca="false">IF(Q177="","",($W$2-Q177)/30.44)</f>
        <v>4.86202365308804</v>
      </c>
      <c r="S177" s="6" t="s">
        <v>892</v>
      </c>
      <c r="T177" s="6" t="s">
        <v>1001</v>
      </c>
      <c r="U177" s="6" t="s">
        <v>1002</v>
      </c>
    </row>
    <row r="178" customFormat="false" ht="15" hidden="false" customHeight="false" outlineLevel="0" collapsed="false">
      <c r="A178" s="6" t="str">
        <f aca="false">B178&amp;"|"&amp;D178</f>
        <v>Quick &amp; Easy (Cookbooks)|17</v>
      </c>
      <c r="B178" s="6" t="s">
        <v>68</v>
      </c>
      <c r="C178" s="6" t="s">
        <v>69</v>
      </c>
      <c r="D178" s="6" t="n">
        <v>17</v>
      </c>
      <c r="E178" s="6" t="s">
        <v>1003</v>
      </c>
      <c r="F178" s="6" t="s">
        <v>1004</v>
      </c>
      <c r="G178" s="6" t="s">
        <v>1005</v>
      </c>
      <c r="H178" s="6" t="s">
        <v>117</v>
      </c>
      <c r="I178" s="6" t="s">
        <v>1006</v>
      </c>
      <c r="J178" s="7" t="n">
        <v>3.99</v>
      </c>
      <c r="K178" s="6" t="n">
        <v>4.3</v>
      </c>
      <c r="L178" s="8" t="n">
        <v>2127</v>
      </c>
      <c r="M178" s="8" t="n">
        <v>12344</v>
      </c>
      <c r="N178" s="6" t="s">
        <v>127</v>
      </c>
      <c r="O178" s="6" t="n">
        <v>335</v>
      </c>
      <c r="P178" s="6" t="n">
        <v>4.7</v>
      </c>
      <c r="Q178" s="9" t="n">
        <v>41352</v>
      </c>
      <c r="R178" s="10" t="n">
        <f aca="false">IF(Q178="","",($W$2-Q178)/30.44)</f>
        <v>162.614980289093</v>
      </c>
      <c r="S178" s="6" t="s">
        <v>725</v>
      </c>
      <c r="T178" s="6" t="s">
        <v>1007</v>
      </c>
      <c r="U178" s="6" t="s">
        <v>1008</v>
      </c>
    </row>
    <row r="179" customFormat="false" ht="15" hidden="false" customHeight="false" outlineLevel="0" collapsed="false">
      <c r="A179" s="6" t="str">
        <f aca="false">B179&amp;"|"&amp;D179</f>
        <v>Quick &amp; Easy (Cookbooks)|18</v>
      </c>
      <c r="B179" s="6" t="s">
        <v>68</v>
      </c>
      <c r="C179" s="6" t="s">
        <v>69</v>
      </c>
      <c r="D179" s="6" t="n">
        <v>18</v>
      </c>
      <c r="E179" s="6" t="s">
        <v>1009</v>
      </c>
      <c r="F179" s="6" t="s">
        <v>1010</v>
      </c>
      <c r="G179" s="6" t="s">
        <v>1011</v>
      </c>
      <c r="H179" s="6" t="s">
        <v>205</v>
      </c>
      <c r="I179" s="6" t="s">
        <v>1012</v>
      </c>
      <c r="J179" s="7" t="n">
        <v>0.99</v>
      </c>
      <c r="K179" s="6" t="n">
        <v>4.4</v>
      </c>
      <c r="L179" s="8" t="n">
        <v>16</v>
      </c>
      <c r="M179" s="8" t="n">
        <v>12398</v>
      </c>
      <c r="N179" s="6" t="s">
        <v>127</v>
      </c>
      <c r="O179" s="6" t="n">
        <v>223</v>
      </c>
      <c r="P179" s="6" t="n">
        <v>3.7</v>
      </c>
      <c r="Q179" s="9" t="n">
        <v>46230</v>
      </c>
      <c r="R179" s="10" t="n">
        <f aca="false">IF(Q179="","",($W$2-Q179)/30.44)</f>
        <v>2.36530880420499</v>
      </c>
      <c r="S179" s="6" t="s">
        <v>378</v>
      </c>
      <c r="T179" s="6" t="s">
        <v>1013</v>
      </c>
      <c r="U179" s="6" t="s">
        <v>1014</v>
      </c>
    </row>
    <row r="180" customFormat="false" ht="15" hidden="false" customHeight="false" outlineLevel="0" collapsed="false">
      <c r="A180" s="6" t="str">
        <f aca="false">B180&amp;"|"&amp;D180</f>
        <v>Quick &amp; Easy (Cookbooks)|19</v>
      </c>
      <c r="B180" s="6" t="s">
        <v>68</v>
      </c>
      <c r="C180" s="6" t="s">
        <v>69</v>
      </c>
      <c r="D180" s="6" t="n">
        <v>19</v>
      </c>
      <c r="E180" s="6" t="s">
        <v>1015</v>
      </c>
      <c r="F180" s="6" t="s">
        <v>1016</v>
      </c>
      <c r="G180" s="6" t="s">
        <v>1017</v>
      </c>
      <c r="H180" s="6" t="s">
        <v>117</v>
      </c>
      <c r="I180" s="6" t="s">
        <v>1018</v>
      </c>
      <c r="J180" s="7" t="n">
        <v>1.99</v>
      </c>
      <c r="K180" s="6" t="n">
        <v>4.7</v>
      </c>
      <c r="L180" s="8" t="n">
        <v>212</v>
      </c>
      <c r="M180" s="8" t="n">
        <v>12955</v>
      </c>
      <c r="N180" s="6" t="s">
        <v>127</v>
      </c>
      <c r="O180" s="6" t="n">
        <v>485</v>
      </c>
      <c r="P180" s="6" t="n">
        <v>66.8</v>
      </c>
      <c r="Q180" s="9" t="n">
        <v>46198</v>
      </c>
      <c r="R180" s="10" t="n">
        <f aca="false">IF(Q180="","",($W$2-Q180)/30.44)</f>
        <v>3.41655716162944</v>
      </c>
      <c r="S180" s="6" t="s">
        <v>378</v>
      </c>
      <c r="T180" s="6" t="s">
        <v>1019</v>
      </c>
      <c r="U180" s="6" t="s">
        <v>1020</v>
      </c>
    </row>
    <row r="181" customFormat="false" ht="15" hidden="false" customHeight="false" outlineLevel="0" collapsed="false">
      <c r="A181" s="6" t="str">
        <f aca="false">B181&amp;"|"&amp;D181</f>
        <v>Quick &amp; Easy (Cookbooks)|20</v>
      </c>
      <c r="B181" s="6" t="s">
        <v>68</v>
      </c>
      <c r="C181" s="6" t="s">
        <v>69</v>
      </c>
      <c r="D181" s="6" t="n">
        <v>20</v>
      </c>
      <c r="E181" s="6" t="s">
        <v>1021</v>
      </c>
      <c r="F181" s="6" t="s">
        <v>1022</v>
      </c>
      <c r="G181" s="6" t="s">
        <v>999</v>
      </c>
      <c r="H181" s="6" t="s">
        <v>117</v>
      </c>
      <c r="I181" s="6" t="s">
        <v>1023</v>
      </c>
      <c r="J181" s="7" t="n">
        <v>7.99</v>
      </c>
      <c r="K181" s="6" t="n">
        <v>4.7</v>
      </c>
      <c r="L181" s="8" t="n">
        <v>2846</v>
      </c>
      <c r="M181" s="8" t="n">
        <v>12930</v>
      </c>
      <c r="N181" s="6" t="s">
        <v>119</v>
      </c>
      <c r="O181" s="6" t="n">
        <v>242</v>
      </c>
      <c r="P181" s="6" t="n">
        <v>194.8</v>
      </c>
      <c r="Q181" s="9" t="n">
        <v>42668</v>
      </c>
      <c r="R181" s="10" t="n">
        <f aca="false">IF(Q181="","",($W$2-Q181)/30.44)</f>
        <v>119.382391590013</v>
      </c>
      <c r="S181" s="6" t="s">
        <v>892</v>
      </c>
      <c r="T181" s="6" t="s">
        <v>1024</v>
      </c>
      <c r="U181" s="6" t="s">
        <v>1025</v>
      </c>
    </row>
    <row r="182" customFormat="false" ht="15" hidden="false" customHeight="false" outlineLevel="0" collapsed="false">
      <c r="A182" s="6" t="str">
        <f aca="false">B182&amp;"|"&amp;D182</f>
        <v>One-Hour Self-Help Short Reads|1</v>
      </c>
      <c r="B182" s="6" t="s">
        <v>71</v>
      </c>
      <c r="C182" s="6" t="s">
        <v>72</v>
      </c>
      <c r="D182" s="6" t="n">
        <v>1</v>
      </c>
      <c r="E182" s="6" t="s">
        <v>1026</v>
      </c>
      <c r="F182" s="6" t="s">
        <v>607</v>
      </c>
      <c r="G182" s="6" t="s">
        <v>1027</v>
      </c>
      <c r="H182" s="6" t="s">
        <v>171</v>
      </c>
      <c r="I182" s="6" t="s">
        <v>1028</v>
      </c>
      <c r="J182" s="7" t="n">
        <v>0.99</v>
      </c>
      <c r="K182" s="6" t="n">
        <v>4.7</v>
      </c>
      <c r="L182" s="8" t="n">
        <v>3908</v>
      </c>
      <c r="M182" s="8" t="n">
        <v>25444</v>
      </c>
      <c r="N182" s="6" t="s">
        <v>119</v>
      </c>
      <c r="O182" s="6" t="n">
        <v>36</v>
      </c>
      <c r="P182" s="6" t="n">
        <v>0.28</v>
      </c>
      <c r="Q182" s="9" t="n">
        <v>45193</v>
      </c>
      <c r="R182" s="10" t="n">
        <f aca="false">IF(Q182="","",($W$2-Q182)/30.44)</f>
        <v>36.4323258869908</v>
      </c>
      <c r="S182" s="6" t="s">
        <v>253</v>
      </c>
      <c r="T182" s="6" t="s">
        <v>1029</v>
      </c>
      <c r="U182" s="6" t="s">
        <v>1030</v>
      </c>
    </row>
    <row r="183" customFormat="false" ht="15" hidden="false" customHeight="false" outlineLevel="0" collapsed="false">
      <c r="A183" s="6" t="str">
        <f aca="false">B183&amp;"|"&amp;D183</f>
        <v>One-Hour Self-Help Short Reads|2</v>
      </c>
      <c r="B183" s="6" t="s">
        <v>71</v>
      </c>
      <c r="C183" s="6" t="s">
        <v>72</v>
      </c>
      <c r="D183" s="6" t="n">
        <v>2</v>
      </c>
      <c r="E183" s="6" t="s">
        <v>1031</v>
      </c>
      <c r="F183" s="6" t="s">
        <v>1032</v>
      </c>
      <c r="G183" s="6" t="s">
        <v>151</v>
      </c>
      <c r="H183" s="6" t="s">
        <v>152</v>
      </c>
      <c r="I183" s="6" t="s">
        <v>1033</v>
      </c>
      <c r="J183" s="7" t="n">
        <v>9.99</v>
      </c>
      <c r="K183" s="6" t="n">
        <v>4.6</v>
      </c>
      <c r="L183" s="8" t="n">
        <v>133</v>
      </c>
      <c r="M183" s="8" t="n">
        <v>37117</v>
      </c>
      <c r="N183" s="6" t="s">
        <v>127</v>
      </c>
      <c r="O183" s="6" t="n">
        <v>42</v>
      </c>
      <c r="P183" s="6" t="n">
        <v>1.7</v>
      </c>
      <c r="Q183" s="9" t="n">
        <v>46038</v>
      </c>
      <c r="R183" s="10" t="n">
        <f aca="false">IF(Q183="","",($W$2-Q183)/30.44)</f>
        <v>8.67279894875164</v>
      </c>
      <c r="S183" s="6" t="s">
        <v>253</v>
      </c>
      <c r="T183" s="6" t="s">
        <v>1034</v>
      </c>
      <c r="U183" s="6" t="s">
        <v>1035</v>
      </c>
    </row>
    <row r="184" customFormat="false" ht="15" hidden="false" customHeight="false" outlineLevel="0" collapsed="false">
      <c r="A184" s="6" t="str">
        <f aca="false">B184&amp;"|"&amp;D184</f>
        <v>One-Hour Self-Help Short Reads|3</v>
      </c>
      <c r="B184" s="6" t="s">
        <v>71</v>
      </c>
      <c r="C184" s="6" t="s">
        <v>72</v>
      </c>
      <c r="D184" s="6" t="n">
        <v>3</v>
      </c>
      <c r="E184" s="6" t="s">
        <v>689</v>
      </c>
      <c r="F184" s="6" t="s">
        <v>690</v>
      </c>
      <c r="G184" s="6" t="s">
        <v>151</v>
      </c>
      <c r="H184" s="6" t="s">
        <v>152</v>
      </c>
      <c r="I184" s="6" t="s">
        <v>691</v>
      </c>
      <c r="J184" s="7" t="n">
        <v>3.99</v>
      </c>
      <c r="K184" s="6" t="n">
        <v>4.5</v>
      </c>
      <c r="L184" s="8" t="n">
        <v>19</v>
      </c>
      <c r="M184" s="8" t="n">
        <v>66176</v>
      </c>
      <c r="N184" s="6" t="s">
        <v>127</v>
      </c>
      <c r="O184" s="6" t="n">
        <v>36</v>
      </c>
      <c r="P184" s="6" t="n">
        <v>1.9</v>
      </c>
      <c r="Q184" s="9" t="n">
        <v>46177</v>
      </c>
      <c r="R184" s="10" t="n">
        <f aca="false">IF(Q184="","",($W$2-Q184)/30.44)</f>
        <v>4.10643889618923</v>
      </c>
      <c r="S184" s="6" t="s">
        <v>135</v>
      </c>
      <c r="T184" s="6" t="s">
        <v>692</v>
      </c>
      <c r="U184" s="6" t="s">
        <v>693</v>
      </c>
    </row>
    <row r="185" customFormat="false" ht="15" hidden="false" customHeight="false" outlineLevel="0" collapsed="false">
      <c r="A185" s="6" t="str">
        <f aca="false">B185&amp;"|"&amp;D185</f>
        <v>One-Hour Self-Help Short Reads|4</v>
      </c>
      <c r="B185" s="6" t="s">
        <v>71</v>
      </c>
      <c r="C185" s="6" t="s">
        <v>72</v>
      </c>
      <c r="D185" s="6" t="n">
        <v>4</v>
      </c>
      <c r="E185" s="6" t="s">
        <v>1036</v>
      </c>
      <c r="F185" s="6" t="s">
        <v>1037</v>
      </c>
      <c r="G185" s="6" t="s">
        <v>151</v>
      </c>
      <c r="H185" s="6" t="s">
        <v>152</v>
      </c>
      <c r="I185" s="6" t="s">
        <v>1038</v>
      </c>
      <c r="J185" s="7" t="n">
        <v>0.99</v>
      </c>
      <c r="K185" s="6" t="n">
        <v>4.1</v>
      </c>
      <c r="L185" s="8" t="n">
        <v>270</v>
      </c>
      <c r="M185" s="8" t="n">
        <v>78887</v>
      </c>
      <c r="N185" s="6" t="s">
        <v>127</v>
      </c>
      <c r="O185" s="6" t="n">
        <v>40</v>
      </c>
      <c r="P185" s="6" t="n">
        <v>1.4</v>
      </c>
      <c r="Q185" s="9" t="n">
        <v>41930</v>
      </c>
      <c r="R185" s="10" t="n">
        <f aca="false">IF(Q185="","",($W$2-Q185)/30.44)</f>
        <v>143.626806833114</v>
      </c>
      <c r="S185" s="6" t="s">
        <v>764</v>
      </c>
      <c r="T185" s="6" t="s">
        <v>1039</v>
      </c>
      <c r="U185" s="6" t="s">
        <v>1040</v>
      </c>
    </row>
    <row r="186" customFormat="false" ht="15" hidden="false" customHeight="false" outlineLevel="0" collapsed="false">
      <c r="A186" s="6" t="str">
        <f aca="false">B186&amp;"|"&amp;D186</f>
        <v>One-Hour Self-Help Short Reads|5</v>
      </c>
      <c r="B186" s="6" t="s">
        <v>71</v>
      </c>
      <c r="C186" s="6" t="s">
        <v>72</v>
      </c>
      <c r="D186" s="6" t="n">
        <v>5</v>
      </c>
      <c r="E186" s="6" t="s">
        <v>1041</v>
      </c>
      <c r="F186" s="6" t="s">
        <v>1042</v>
      </c>
      <c r="G186" s="6" t="s">
        <v>125</v>
      </c>
      <c r="H186" s="6" t="s">
        <v>117</v>
      </c>
      <c r="I186" s="6" t="s">
        <v>1043</v>
      </c>
      <c r="J186" s="7" t="n">
        <v>0.99</v>
      </c>
      <c r="K186" s="6" t="n">
        <v>4.8</v>
      </c>
      <c r="L186" s="8" t="n">
        <v>1296</v>
      </c>
      <c r="M186" s="8" t="n">
        <v>80442</v>
      </c>
      <c r="N186" s="6" t="s">
        <v>119</v>
      </c>
      <c r="O186" s="6" t="n">
        <v>42</v>
      </c>
      <c r="P186" s="6" t="n">
        <v>0.58</v>
      </c>
      <c r="Q186" s="9" t="n">
        <v>38745</v>
      </c>
      <c r="R186" s="10" t="n">
        <f aca="false">IF(Q186="","",($W$2-Q186)/30.44)</f>
        <v>248.258869908016</v>
      </c>
      <c r="S186" s="6" t="s">
        <v>135</v>
      </c>
      <c r="T186" s="6" t="s">
        <v>1044</v>
      </c>
      <c r="U186" s="6" t="s">
        <v>1045</v>
      </c>
    </row>
    <row r="187" customFormat="false" ht="15" hidden="false" customHeight="false" outlineLevel="0" collapsed="false">
      <c r="A187" s="6" t="str">
        <f aca="false">B187&amp;"|"&amp;D187</f>
        <v>One-Hour Self-Help Short Reads|6</v>
      </c>
      <c r="B187" s="6" t="s">
        <v>71</v>
      </c>
      <c r="C187" s="6" t="s">
        <v>72</v>
      </c>
      <c r="D187" s="6" t="n">
        <v>6</v>
      </c>
      <c r="E187" s="6" t="s">
        <v>1046</v>
      </c>
      <c r="F187" s="6" t="s">
        <v>1047</v>
      </c>
      <c r="G187" s="6" t="s">
        <v>1048</v>
      </c>
      <c r="H187" s="6" t="s">
        <v>117</v>
      </c>
      <c r="I187" s="6" t="s">
        <v>1049</v>
      </c>
      <c r="J187" s="7" t="n">
        <v>1.99</v>
      </c>
      <c r="K187" s="6" t="n">
        <v>4</v>
      </c>
      <c r="L187" s="8" t="n">
        <v>4291</v>
      </c>
      <c r="M187" s="8" t="n">
        <v>93505</v>
      </c>
      <c r="N187" s="6" t="s">
        <v>127</v>
      </c>
      <c r="O187" s="6" t="n">
        <v>43</v>
      </c>
      <c r="P187" s="6" t="n">
        <v>3.4</v>
      </c>
      <c r="Q187" s="9" t="n">
        <v>45139</v>
      </c>
      <c r="R187" s="10" t="n">
        <f aca="false">IF(Q187="","",($W$2-Q187)/30.44)</f>
        <v>38.2063074901445</v>
      </c>
      <c r="S187" s="6" t="s">
        <v>764</v>
      </c>
      <c r="T187" s="6" t="s">
        <v>1050</v>
      </c>
      <c r="U187" s="6" t="s">
        <v>1051</v>
      </c>
    </row>
    <row r="188" customFormat="false" ht="15" hidden="false" customHeight="false" outlineLevel="0" collapsed="false">
      <c r="A188" s="6" t="str">
        <f aca="false">B188&amp;"|"&amp;D188</f>
        <v>One-Hour Self-Help Short Reads|7</v>
      </c>
      <c r="B188" s="6" t="s">
        <v>71</v>
      </c>
      <c r="C188" s="6" t="s">
        <v>72</v>
      </c>
      <c r="D188" s="6" t="n">
        <v>7</v>
      </c>
      <c r="E188" s="6" t="s">
        <v>1052</v>
      </c>
      <c r="F188" s="6" t="s">
        <v>1053</v>
      </c>
      <c r="G188" s="6" t="s">
        <v>151</v>
      </c>
      <c r="H188" s="6" t="s">
        <v>613</v>
      </c>
      <c r="I188" s="6" t="s">
        <v>1054</v>
      </c>
      <c r="J188" s="7" t="n">
        <v>3.97</v>
      </c>
      <c r="K188" s="6" t="n">
        <v>4.4</v>
      </c>
      <c r="L188" s="8" t="n">
        <v>244</v>
      </c>
      <c r="M188" s="8" t="n">
        <v>97814</v>
      </c>
      <c r="N188" s="6" t="s">
        <v>127</v>
      </c>
      <c r="O188" s="6" t="n">
        <v>33</v>
      </c>
      <c r="P188" s="6" t="n">
        <v>0.54</v>
      </c>
      <c r="Q188" s="9" t="n">
        <v>42306</v>
      </c>
      <c r="R188" s="10" t="n">
        <f aca="false">IF(Q188="","",($W$2-Q188)/30.44)</f>
        <v>131.274638633377</v>
      </c>
      <c r="S188" s="6" t="s">
        <v>764</v>
      </c>
      <c r="T188" s="6" t="s">
        <v>1055</v>
      </c>
      <c r="U188" s="6" t="s">
        <v>1056</v>
      </c>
    </row>
    <row r="189" customFormat="false" ht="15" hidden="false" customHeight="false" outlineLevel="0" collapsed="false">
      <c r="A189" s="6" t="str">
        <f aca="false">B189&amp;"|"&amp;D189</f>
        <v>One-Hour Self-Help Short Reads|8</v>
      </c>
      <c r="B189" s="6" t="s">
        <v>71</v>
      </c>
      <c r="C189" s="6" t="s">
        <v>72</v>
      </c>
      <c r="D189" s="6" t="n">
        <v>8</v>
      </c>
      <c r="E189" s="6" t="s">
        <v>1057</v>
      </c>
      <c r="F189" s="6" t="s">
        <v>1037</v>
      </c>
      <c r="G189" s="6" t="s">
        <v>151</v>
      </c>
      <c r="H189" s="6" t="s">
        <v>152</v>
      </c>
      <c r="I189" s="6" t="s">
        <v>1058</v>
      </c>
      <c r="J189" s="7" t="n">
        <v>0.99</v>
      </c>
      <c r="K189" s="6" t="n">
        <v>4.2</v>
      </c>
      <c r="L189" s="8" t="n">
        <v>138</v>
      </c>
      <c r="M189" s="8" t="n">
        <v>101536</v>
      </c>
      <c r="N189" s="6" t="s">
        <v>127</v>
      </c>
      <c r="O189" s="6" t="n">
        <v>35</v>
      </c>
      <c r="P189" s="6" t="n">
        <v>1.3</v>
      </c>
      <c r="Q189" s="9" t="n">
        <v>42021</v>
      </c>
      <c r="R189" s="10" t="n">
        <f aca="false">IF(Q189="","",($W$2-Q189)/30.44)</f>
        <v>140.637319316689</v>
      </c>
      <c r="S189" s="6" t="s">
        <v>764</v>
      </c>
      <c r="T189" s="6" t="s">
        <v>1059</v>
      </c>
      <c r="U189" s="6" t="s">
        <v>1060</v>
      </c>
    </row>
    <row r="190" customFormat="false" ht="15" hidden="false" customHeight="false" outlineLevel="0" collapsed="false">
      <c r="A190" s="6" t="str">
        <f aca="false">B190&amp;"|"&amp;D190</f>
        <v>One-Hour Self-Help Short Reads|9</v>
      </c>
      <c r="B190" s="6" t="s">
        <v>71</v>
      </c>
      <c r="C190" s="6" t="s">
        <v>72</v>
      </c>
      <c r="D190" s="6" t="n">
        <v>9</v>
      </c>
      <c r="E190" s="6" t="s">
        <v>1061</v>
      </c>
      <c r="F190" s="6" t="s">
        <v>1062</v>
      </c>
      <c r="G190" s="6" t="s">
        <v>151</v>
      </c>
      <c r="H190" s="6" t="s">
        <v>152</v>
      </c>
      <c r="I190" s="6" t="s">
        <v>1063</v>
      </c>
      <c r="J190" s="7" t="n">
        <v>4.99</v>
      </c>
      <c r="K190" s="6" t="n">
        <v>4.6</v>
      </c>
      <c r="L190" s="8" t="n">
        <v>2420</v>
      </c>
      <c r="M190" s="8" t="n">
        <v>101915</v>
      </c>
      <c r="N190" s="6" t="s">
        <v>119</v>
      </c>
      <c r="O190" s="6" t="n">
        <v>42</v>
      </c>
      <c r="P190" s="6" t="n">
        <v>1.4</v>
      </c>
      <c r="Q190" s="9" t="n">
        <v>41767</v>
      </c>
      <c r="R190" s="10" t="n">
        <f aca="false">IF(Q190="","",($W$2-Q190)/30.44)</f>
        <v>148.981603153745</v>
      </c>
      <c r="S190" s="6" t="s">
        <v>135</v>
      </c>
      <c r="T190" s="6" t="s">
        <v>1064</v>
      </c>
      <c r="U190" s="6" t="s">
        <v>1065</v>
      </c>
    </row>
    <row r="191" customFormat="false" ht="15" hidden="false" customHeight="false" outlineLevel="0" collapsed="false">
      <c r="A191" s="6" t="str">
        <f aca="false">B191&amp;"|"&amp;D191</f>
        <v>One-Hour Self-Help Short Reads|10</v>
      </c>
      <c r="B191" s="6" t="s">
        <v>71</v>
      </c>
      <c r="C191" s="6" t="s">
        <v>72</v>
      </c>
      <c r="D191" s="6" t="n">
        <v>10</v>
      </c>
      <c r="E191" s="6" t="s">
        <v>1066</v>
      </c>
      <c r="F191" s="6" t="s">
        <v>1067</v>
      </c>
      <c r="G191" s="6" t="s">
        <v>1068</v>
      </c>
      <c r="H191" s="6" t="s">
        <v>117</v>
      </c>
      <c r="I191" s="6" t="s">
        <v>1069</v>
      </c>
      <c r="J191" s="7" t="n">
        <v>3.95</v>
      </c>
      <c r="K191" s="6" t="n">
        <v>4.5</v>
      </c>
      <c r="L191" s="8" t="n">
        <v>17</v>
      </c>
      <c r="M191" s="8" t="n">
        <v>103010</v>
      </c>
      <c r="N191" s="6" t="s">
        <v>127</v>
      </c>
      <c r="O191" s="6" t="n">
        <v>37</v>
      </c>
      <c r="P191" s="6" t="n">
        <v>0.82</v>
      </c>
      <c r="Q191" s="9" t="n">
        <v>46193</v>
      </c>
      <c r="R191" s="10" t="n">
        <f aca="false">IF(Q191="","",($W$2-Q191)/30.44)</f>
        <v>3.580814717477</v>
      </c>
      <c r="S191" s="6" t="s">
        <v>135</v>
      </c>
      <c r="T191" s="6" t="s">
        <v>1070</v>
      </c>
      <c r="U191" s="6" t="s">
        <v>1071</v>
      </c>
    </row>
    <row r="192" customFormat="false" ht="15" hidden="false" customHeight="false" outlineLevel="0" collapsed="false">
      <c r="A192" s="6" t="str">
        <f aca="false">B192&amp;"|"&amp;D192</f>
        <v>One-Hour Self-Help Short Reads|11</v>
      </c>
      <c r="B192" s="6" t="s">
        <v>71</v>
      </c>
      <c r="C192" s="6" t="s">
        <v>72</v>
      </c>
      <c r="D192" s="6" t="n">
        <v>11</v>
      </c>
      <c r="E192" s="6" t="s">
        <v>1072</v>
      </c>
      <c r="F192" s="6" t="s">
        <v>1073</v>
      </c>
      <c r="G192" s="6" t="s">
        <v>1074</v>
      </c>
      <c r="H192" s="6" t="s">
        <v>171</v>
      </c>
      <c r="I192" s="6" t="s">
        <v>1075</v>
      </c>
      <c r="J192" s="7" t="n">
        <v>1.48</v>
      </c>
      <c r="K192" s="6" t="n">
        <v>4.7</v>
      </c>
      <c r="L192" s="8" t="n">
        <v>1357</v>
      </c>
      <c r="M192" s="8" t="n">
        <v>169680</v>
      </c>
      <c r="N192" s="6" t="s">
        <v>119</v>
      </c>
      <c r="O192" s="6" t="n">
        <v>35</v>
      </c>
      <c r="P192" s="6" t="n">
        <v>1.1</v>
      </c>
      <c r="Q192" s="9" t="n">
        <v>46148</v>
      </c>
      <c r="R192" s="10" t="n">
        <f aca="false">IF(Q192="","",($W$2-Q192)/30.44)</f>
        <v>5.05913272010513</v>
      </c>
      <c r="S192" s="6" t="s">
        <v>140</v>
      </c>
      <c r="T192" s="6" t="s">
        <v>1076</v>
      </c>
      <c r="U192" s="6" t="s">
        <v>1077</v>
      </c>
    </row>
    <row r="193" customFormat="false" ht="15" hidden="false" customHeight="false" outlineLevel="0" collapsed="false">
      <c r="A193" s="6" t="str">
        <f aca="false">B193&amp;"|"&amp;D193</f>
        <v>One-Hour Self-Help Short Reads|12</v>
      </c>
      <c r="B193" s="6" t="s">
        <v>71</v>
      </c>
      <c r="C193" s="6" t="s">
        <v>72</v>
      </c>
      <c r="D193" s="6" t="n">
        <v>12</v>
      </c>
      <c r="E193" s="6" t="s">
        <v>1078</v>
      </c>
      <c r="F193" s="6" t="s">
        <v>1079</v>
      </c>
      <c r="G193" s="6" t="s">
        <v>1080</v>
      </c>
      <c r="H193" s="6" t="s">
        <v>205</v>
      </c>
      <c r="I193" s="6" t="s">
        <v>1081</v>
      </c>
      <c r="J193" s="7" t="n">
        <v>5.99</v>
      </c>
      <c r="K193" s="6" t="n">
        <v>4.2</v>
      </c>
      <c r="L193" s="8" t="n">
        <v>33</v>
      </c>
      <c r="M193" s="8" t="n">
        <v>111609</v>
      </c>
      <c r="N193" s="6" t="s">
        <v>127</v>
      </c>
      <c r="O193" s="6" t="n">
        <v>36</v>
      </c>
      <c r="P193" s="6" t="n">
        <v>0.45</v>
      </c>
      <c r="Q193" s="9" t="n">
        <v>46274</v>
      </c>
      <c r="R193" s="10" t="n">
        <f aca="false">IF(Q193="","",($W$2-Q193)/30.44)</f>
        <v>0.919842312746386</v>
      </c>
      <c r="S193" s="6" t="s">
        <v>135</v>
      </c>
      <c r="T193" s="6" t="s">
        <v>1082</v>
      </c>
      <c r="U193" s="6" t="s">
        <v>1083</v>
      </c>
    </row>
    <row r="194" customFormat="false" ht="15" hidden="false" customHeight="false" outlineLevel="0" collapsed="false">
      <c r="A194" s="6" t="str">
        <f aca="false">B194&amp;"|"&amp;D194</f>
        <v>One-Hour Self-Help Short Reads|13</v>
      </c>
      <c r="B194" s="6" t="s">
        <v>71</v>
      </c>
      <c r="C194" s="6" t="s">
        <v>72</v>
      </c>
      <c r="D194" s="6" t="n">
        <v>13</v>
      </c>
      <c r="E194" s="6" t="s">
        <v>1084</v>
      </c>
      <c r="F194" s="6" t="s">
        <v>1037</v>
      </c>
      <c r="G194" s="6" t="s">
        <v>151</v>
      </c>
      <c r="H194" s="6" t="s">
        <v>152</v>
      </c>
      <c r="I194" s="6" t="s">
        <v>1085</v>
      </c>
      <c r="J194" s="7" t="n">
        <v>0.99</v>
      </c>
      <c r="K194" s="6" t="n">
        <v>3.8</v>
      </c>
      <c r="L194" s="8" t="n">
        <v>117</v>
      </c>
      <c r="M194" s="8" t="n">
        <v>114299</v>
      </c>
      <c r="N194" s="6" t="s">
        <v>127</v>
      </c>
      <c r="O194" s="6" t="n">
        <v>34</v>
      </c>
      <c r="P194" s="6" t="n">
        <v>1.3</v>
      </c>
      <c r="Q194" s="9" t="n">
        <v>42030</v>
      </c>
      <c r="R194" s="10" t="n">
        <f aca="false">IF(Q194="","",($W$2-Q194)/30.44)</f>
        <v>140.341655716163</v>
      </c>
      <c r="S194" s="6" t="s">
        <v>764</v>
      </c>
      <c r="T194" s="6" t="s">
        <v>1086</v>
      </c>
      <c r="U194" s="6" t="s">
        <v>1087</v>
      </c>
    </row>
    <row r="195" customFormat="false" ht="15" hidden="false" customHeight="false" outlineLevel="0" collapsed="false">
      <c r="A195" s="6" t="str">
        <f aca="false">B195&amp;"|"&amp;D195</f>
        <v>One-Hour Self-Help Short Reads|14</v>
      </c>
      <c r="B195" s="6" t="s">
        <v>71</v>
      </c>
      <c r="C195" s="6" t="s">
        <v>72</v>
      </c>
      <c r="D195" s="6" t="n">
        <v>14</v>
      </c>
      <c r="E195" s="6" t="s">
        <v>1088</v>
      </c>
      <c r="F195" s="6" t="s">
        <v>1089</v>
      </c>
      <c r="G195" s="6" t="s">
        <v>151</v>
      </c>
      <c r="H195" s="6" t="s">
        <v>152</v>
      </c>
      <c r="I195" s="6" t="s">
        <v>1090</v>
      </c>
      <c r="J195" s="7" t="n">
        <v>4.99</v>
      </c>
      <c r="K195" s="6" t="n">
        <v>5</v>
      </c>
      <c r="L195" s="8" t="n">
        <v>6</v>
      </c>
      <c r="M195" s="8" t="n">
        <v>123220</v>
      </c>
      <c r="N195" s="6" t="s">
        <v>127</v>
      </c>
      <c r="O195" s="6" t="n">
        <v>35</v>
      </c>
      <c r="P195" s="6" t="n">
        <v>105.5</v>
      </c>
      <c r="Q195" s="9" t="n">
        <v>45858</v>
      </c>
      <c r="R195" s="10" t="n">
        <f aca="false">IF(Q195="","",($W$2-Q195)/30.44)</f>
        <v>14.5860709592641</v>
      </c>
      <c r="S195" s="6" t="s">
        <v>378</v>
      </c>
      <c r="T195" s="6" t="s">
        <v>1091</v>
      </c>
      <c r="U195" s="6" t="s">
        <v>1092</v>
      </c>
    </row>
    <row r="196" customFormat="false" ht="15" hidden="false" customHeight="false" outlineLevel="0" collapsed="false">
      <c r="A196" s="6" t="str">
        <f aca="false">B196&amp;"|"&amp;D196</f>
        <v>One-Hour Self-Help Short Reads|15</v>
      </c>
      <c r="B196" s="6" t="s">
        <v>71</v>
      </c>
      <c r="C196" s="6" t="s">
        <v>72</v>
      </c>
      <c r="D196" s="6" t="n">
        <v>15</v>
      </c>
      <c r="E196" s="6" t="s">
        <v>1093</v>
      </c>
      <c r="F196" s="6" t="s">
        <v>1094</v>
      </c>
      <c r="G196" s="6" t="s">
        <v>1095</v>
      </c>
      <c r="H196" s="6" t="s">
        <v>117</v>
      </c>
      <c r="I196" s="6" t="s">
        <v>1096</v>
      </c>
      <c r="J196" s="7" t="n">
        <v>3.99</v>
      </c>
      <c r="K196" s="6" t="n">
        <v>4.8</v>
      </c>
      <c r="L196" s="8" t="n">
        <v>17879</v>
      </c>
      <c r="M196" s="8" t="n">
        <v>129193</v>
      </c>
      <c r="N196" s="6" t="s">
        <v>119</v>
      </c>
      <c r="O196" s="6" t="n">
        <v>43</v>
      </c>
      <c r="P196" s="6" t="n">
        <v>3</v>
      </c>
      <c r="Q196" s="9" t="n">
        <v>43683</v>
      </c>
      <c r="R196" s="10" t="n">
        <f aca="false">IF(Q196="","",($W$2-Q196)/30.44)</f>
        <v>86.0381077529566</v>
      </c>
      <c r="S196" s="6" t="s">
        <v>140</v>
      </c>
      <c r="T196" s="6" t="s">
        <v>1097</v>
      </c>
      <c r="U196" s="6" t="s">
        <v>1098</v>
      </c>
    </row>
    <row r="197" customFormat="false" ht="15" hidden="false" customHeight="false" outlineLevel="0" collapsed="false">
      <c r="A197" s="6" t="str">
        <f aca="false">B197&amp;"|"&amp;D197</f>
        <v>One-Hour Self-Help Short Reads|16</v>
      </c>
      <c r="B197" s="6" t="s">
        <v>71</v>
      </c>
      <c r="C197" s="6" t="s">
        <v>72</v>
      </c>
      <c r="D197" s="6" t="n">
        <v>16</v>
      </c>
      <c r="E197" s="6" t="s">
        <v>1099</v>
      </c>
      <c r="F197" s="6" t="s">
        <v>1037</v>
      </c>
      <c r="G197" s="6" t="s">
        <v>151</v>
      </c>
      <c r="H197" s="6" t="s">
        <v>152</v>
      </c>
      <c r="I197" s="6" t="s">
        <v>1100</v>
      </c>
      <c r="J197" s="7" t="n">
        <v>0.99</v>
      </c>
      <c r="K197" s="6" t="n">
        <v>4</v>
      </c>
      <c r="L197" s="8" t="n">
        <v>95</v>
      </c>
      <c r="M197" s="8" t="n">
        <v>138536</v>
      </c>
      <c r="N197" s="6" t="s">
        <v>127</v>
      </c>
      <c r="O197" s="6" t="n">
        <v>39</v>
      </c>
      <c r="P197" s="6" t="n">
        <v>1.3</v>
      </c>
      <c r="Q197" s="9" t="n">
        <v>42042</v>
      </c>
      <c r="R197" s="10" t="n">
        <f aca="false">IF(Q197="","",($W$2-Q197)/30.44)</f>
        <v>139.947437582129</v>
      </c>
      <c r="S197" s="6" t="s">
        <v>764</v>
      </c>
      <c r="T197" s="6" t="s">
        <v>1101</v>
      </c>
      <c r="U197" s="6" t="s">
        <v>1102</v>
      </c>
    </row>
    <row r="198" customFormat="false" ht="15" hidden="false" customHeight="false" outlineLevel="0" collapsed="false">
      <c r="A198" s="6" t="str">
        <f aca="false">B198&amp;"|"&amp;D198</f>
        <v>One-Hour Self-Help Short Reads|17</v>
      </c>
      <c r="B198" s="6" t="s">
        <v>71</v>
      </c>
      <c r="C198" s="6" t="s">
        <v>72</v>
      </c>
      <c r="D198" s="6" t="n">
        <v>17</v>
      </c>
      <c r="E198" s="6" t="s">
        <v>1103</v>
      </c>
      <c r="F198" s="6" t="s">
        <v>1104</v>
      </c>
      <c r="G198" s="6" t="s">
        <v>151</v>
      </c>
      <c r="H198" s="6" t="s">
        <v>152</v>
      </c>
      <c r="I198" s="6" t="s">
        <v>1105</v>
      </c>
      <c r="J198" s="7" t="n">
        <v>2.99</v>
      </c>
      <c r="K198" s="6" t="n">
        <v>4.3</v>
      </c>
      <c r="L198" s="8" t="n">
        <v>5</v>
      </c>
      <c r="M198" s="8" t="n">
        <v>141474</v>
      </c>
      <c r="N198" s="6" t="s">
        <v>127</v>
      </c>
      <c r="O198" s="6" t="n">
        <v>35</v>
      </c>
      <c r="P198" s="6" t="n">
        <v>1.3</v>
      </c>
      <c r="Q198" s="9" t="n">
        <v>45836</v>
      </c>
      <c r="R198" s="10" t="n">
        <f aca="false">IF(Q198="","",($W$2-Q198)/30.44)</f>
        <v>15.3088042049934</v>
      </c>
      <c r="S198" s="6" t="s">
        <v>764</v>
      </c>
      <c r="T198" s="6" t="s">
        <v>1106</v>
      </c>
      <c r="U198" s="6" t="s">
        <v>1107</v>
      </c>
    </row>
    <row r="199" customFormat="false" ht="15" hidden="false" customHeight="false" outlineLevel="0" collapsed="false">
      <c r="A199" s="6" t="str">
        <f aca="false">B199&amp;"|"&amp;D199</f>
        <v>One-Hour Self-Help Short Reads|18</v>
      </c>
      <c r="B199" s="6" t="s">
        <v>71</v>
      </c>
      <c r="C199" s="6" t="s">
        <v>72</v>
      </c>
      <c r="D199" s="6" t="n">
        <v>18</v>
      </c>
      <c r="E199" s="6" t="s">
        <v>1108</v>
      </c>
      <c r="F199" s="6" t="s">
        <v>1109</v>
      </c>
      <c r="G199" s="6" t="s">
        <v>151</v>
      </c>
      <c r="H199" s="6" t="s">
        <v>152</v>
      </c>
      <c r="I199" s="6" t="s">
        <v>1110</v>
      </c>
      <c r="J199" s="7" t="n">
        <v>5.9</v>
      </c>
      <c r="K199" s="6"/>
      <c r="L199" s="8"/>
      <c r="M199" s="8" t="n">
        <v>148384</v>
      </c>
      <c r="N199" s="6" t="s">
        <v>119</v>
      </c>
      <c r="O199" s="6" t="n">
        <v>38</v>
      </c>
      <c r="P199" s="6" t="n">
        <v>1.5</v>
      </c>
      <c r="Q199" s="9" t="n">
        <v>45574</v>
      </c>
      <c r="R199" s="10" t="n">
        <f aca="false">IF(Q199="","",($W$2-Q199)/30.44)</f>
        <v>23.915900131406</v>
      </c>
      <c r="S199" s="6" t="s">
        <v>1111</v>
      </c>
      <c r="T199" s="6" t="s">
        <v>1112</v>
      </c>
      <c r="U199" s="6" t="s">
        <v>1113</v>
      </c>
    </row>
    <row r="200" customFormat="false" ht="15" hidden="false" customHeight="false" outlineLevel="0" collapsed="false">
      <c r="A200" s="6" t="str">
        <f aca="false">B200&amp;"|"&amp;D200</f>
        <v>One-Hour Self-Help Short Reads|19</v>
      </c>
      <c r="B200" s="6" t="s">
        <v>71</v>
      </c>
      <c r="C200" s="6" t="s">
        <v>72</v>
      </c>
      <c r="D200" s="6" t="n">
        <v>19</v>
      </c>
      <c r="E200" s="6" t="s">
        <v>1114</v>
      </c>
      <c r="F200" s="6" t="s">
        <v>1115</v>
      </c>
      <c r="G200" s="6" t="s">
        <v>151</v>
      </c>
      <c r="H200" s="6" t="s">
        <v>152</v>
      </c>
      <c r="I200" s="6" t="s">
        <v>1116</v>
      </c>
      <c r="J200" s="7" t="n">
        <v>2.99</v>
      </c>
      <c r="K200" s="6" t="n">
        <v>3.9</v>
      </c>
      <c r="L200" s="8" t="n">
        <v>93</v>
      </c>
      <c r="M200" s="8" t="n">
        <v>166349</v>
      </c>
      <c r="N200" s="6" t="s">
        <v>127</v>
      </c>
      <c r="O200" s="6" t="n">
        <v>39</v>
      </c>
      <c r="P200" s="6" t="n">
        <v>4.3</v>
      </c>
      <c r="Q200" s="9" t="n">
        <v>45480</v>
      </c>
      <c r="R200" s="10" t="n">
        <f aca="false">IF(Q200="","",($W$2-Q200)/30.44)</f>
        <v>27.0039421813403</v>
      </c>
      <c r="S200" s="6" t="s">
        <v>135</v>
      </c>
      <c r="T200" s="6" t="s">
        <v>1117</v>
      </c>
      <c r="U200" s="6" t="s">
        <v>1118</v>
      </c>
    </row>
    <row r="201" customFormat="false" ht="15" hidden="false" customHeight="false" outlineLevel="0" collapsed="false">
      <c r="A201" s="6" t="str">
        <f aca="false">B201&amp;"|"&amp;D201</f>
        <v>One-Hour Self-Help Short Reads|20</v>
      </c>
      <c r="B201" s="6" t="s">
        <v>71</v>
      </c>
      <c r="C201" s="6" t="s">
        <v>72</v>
      </c>
      <c r="D201" s="6" t="n">
        <v>20</v>
      </c>
      <c r="E201" s="6" t="s">
        <v>1119</v>
      </c>
      <c r="F201" s="6" t="s">
        <v>1120</v>
      </c>
      <c r="G201" s="6" t="s">
        <v>151</v>
      </c>
      <c r="H201" s="6" t="s">
        <v>152</v>
      </c>
      <c r="I201" s="6" t="s">
        <v>1121</v>
      </c>
      <c r="J201" s="7" t="n">
        <v>5.99</v>
      </c>
      <c r="K201" s="6" t="n">
        <v>3.7</v>
      </c>
      <c r="L201" s="8" t="n">
        <v>3</v>
      </c>
      <c r="M201" s="8" t="n">
        <v>170146</v>
      </c>
      <c r="N201" s="6" t="s">
        <v>119</v>
      </c>
      <c r="O201" s="6" t="n">
        <v>40</v>
      </c>
      <c r="P201" s="6" t="n">
        <v>3.9</v>
      </c>
      <c r="Q201" s="9" t="n">
        <v>45765</v>
      </c>
      <c r="R201" s="10" t="n">
        <f aca="false">IF(Q201="","",($W$2-Q201)/30.44)</f>
        <v>17.6412614980289</v>
      </c>
      <c r="S201" s="6" t="s">
        <v>764</v>
      </c>
      <c r="T201" s="6" t="s">
        <v>1122</v>
      </c>
      <c r="U201" s="6" t="s">
        <v>1123</v>
      </c>
    </row>
  </sheetData>
  <autoFilter ref="A1:U2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90"/>
  </cols>
  <sheetData>
    <row r="1" customFormat="false" ht="15" hidden="false" customHeight="false" outlineLevel="0" collapsed="false">
      <c r="A1" s="4" t="s">
        <v>104</v>
      </c>
      <c r="B1" s="4" t="s">
        <v>1124</v>
      </c>
      <c r="C1" s="4" t="s">
        <v>1125</v>
      </c>
    </row>
    <row r="2" customFormat="false" ht="15" hidden="false" customHeight="false" outlineLevel="0" collapsed="false">
      <c r="A2" s="12" t="n">
        <v>1</v>
      </c>
      <c r="B2" s="13" t="n">
        <v>5000</v>
      </c>
      <c r="C2" s="6" t="s">
        <v>1126</v>
      </c>
    </row>
    <row r="3" customFormat="false" ht="15" hidden="false" customHeight="false" outlineLevel="0" collapsed="false">
      <c r="A3" s="12" t="n">
        <v>100</v>
      </c>
      <c r="B3" s="13" t="n">
        <v>1000</v>
      </c>
      <c r="C3" s="6" t="s">
        <v>1127</v>
      </c>
    </row>
    <row r="4" customFormat="false" ht="15" hidden="false" customHeight="false" outlineLevel="0" collapsed="false">
      <c r="A4" s="12" t="n">
        <v>250</v>
      </c>
      <c r="B4" s="13" t="n">
        <v>500</v>
      </c>
      <c r="C4" s="6" t="s">
        <v>1128</v>
      </c>
    </row>
    <row r="5" customFormat="false" ht="15" hidden="false" customHeight="false" outlineLevel="0" collapsed="false">
      <c r="A5" s="12" t="n">
        <v>500</v>
      </c>
      <c r="B5" s="13" t="n">
        <v>280</v>
      </c>
      <c r="C5" s="6" t="s">
        <v>1128</v>
      </c>
    </row>
    <row r="6" customFormat="false" ht="15" hidden="false" customHeight="false" outlineLevel="0" collapsed="false">
      <c r="A6" s="12" t="n">
        <v>1000</v>
      </c>
      <c r="B6" s="13" t="n">
        <v>120</v>
      </c>
      <c r="C6" s="6" t="s">
        <v>1128</v>
      </c>
    </row>
    <row r="7" customFormat="false" ht="15" hidden="false" customHeight="false" outlineLevel="0" collapsed="false">
      <c r="A7" s="12" t="n">
        <v>2000</v>
      </c>
      <c r="B7" s="13" t="n">
        <v>65</v>
      </c>
      <c r="C7" s="6" t="s">
        <v>1128</v>
      </c>
    </row>
    <row r="8" customFormat="false" ht="15" hidden="false" customHeight="false" outlineLevel="0" collapsed="false">
      <c r="A8" s="12" t="n">
        <v>5000</v>
      </c>
      <c r="B8" s="13" t="n">
        <v>30</v>
      </c>
      <c r="C8" s="6" t="s">
        <v>1128</v>
      </c>
    </row>
    <row r="9" customFormat="false" ht="15" hidden="false" customHeight="false" outlineLevel="0" collapsed="false">
      <c r="A9" s="12" t="n">
        <v>10000</v>
      </c>
      <c r="B9" s="13" t="n">
        <v>20</v>
      </c>
      <c r="C9" s="6" t="s">
        <v>1128</v>
      </c>
    </row>
    <row r="10" customFormat="false" ht="15" hidden="false" customHeight="false" outlineLevel="0" collapsed="false">
      <c r="A10" s="12" t="n">
        <v>20000</v>
      </c>
      <c r="B10" s="13" t="n">
        <v>10</v>
      </c>
      <c r="C10" s="6" t="s">
        <v>1128</v>
      </c>
    </row>
    <row r="11" customFormat="false" ht="15" hidden="false" customHeight="false" outlineLevel="0" collapsed="false">
      <c r="A11" s="12" t="n">
        <v>50000</v>
      </c>
      <c r="B11" s="13" t="n">
        <v>4</v>
      </c>
      <c r="C11" s="6" t="s">
        <v>1128</v>
      </c>
    </row>
    <row r="12" customFormat="false" ht="15" hidden="false" customHeight="false" outlineLevel="0" collapsed="false">
      <c r="A12" s="12" t="n">
        <v>100000</v>
      </c>
      <c r="B12" s="13" t="n">
        <v>1.5</v>
      </c>
      <c r="C12" s="6" t="s">
        <v>1128</v>
      </c>
    </row>
    <row r="13" customFormat="false" ht="15" hidden="false" customHeight="false" outlineLevel="0" collapsed="false">
      <c r="A13" s="12" t="n">
        <v>200000</v>
      </c>
      <c r="B13" s="13" t="n">
        <v>0.6</v>
      </c>
      <c r="C13" s="6" t="s">
        <v>1129</v>
      </c>
    </row>
    <row r="14" customFormat="false" ht="15" hidden="false" customHeight="false" outlineLevel="0" collapsed="false">
      <c r="A14" s="12" t="n">
        <v>500000</v>
      </c>
      <c r="B14" s="13" t="n">
        <v>0.15</v>
      </c>
      <c r="C14" s="6" t="s">
        <v>1129</v>
      </c>
    </row>
    <row r="16" customFormat="false" ht="30" hidden="false" customHeight="true" outlineLevel="0" collapsed="false">
      <c r="A16" s="14" t="s">
        <v>1130</v>
      </c>
      <c r="B16" s="14"/>
      <c r="C16" s="14"/>
    </row>
  </sheetData>
  <mergeCells count="1">
    <mergeCell ref="A16:C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9" topLeftCell="E10" activePane="bottomRight" state="frozen"/>
      <selection pane="topLeft" activeCell="A1" activeCellId="0" sqref="A1"/>
      <selection pane="topRight" activeCell="E1" activeCellId="0" sqref="E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6"/>
    <col collapsed="false" customWidth="true" hidden="false" outlineLevel="0" max="4" min="4" style="0" width="44"/>
    <col collapsed="false" customWidth="true" hidden="false" outlineLevel="0" max="5" min="5" style="0" width="24"/>
    <col collapsed="false" customWidth="true" hidden="false" outlineLevel="0" max="6" min="6" style="0" width="9"/>
    <col collapsed="false" customWidth="true" hidden="false" outlineLevel="0" max="7" min="7" style="0" width="10"/>
    <col collapsed="false" customWidth="true" hidden="false" outlineLevel="0" max="8" min="8" style="0" width="8"/>
    <col collapsed="false" customWidth="true" hidden="false" outlineLevel="0" max="9" min="9" style="0" width="5"/>
    <col collapsed="false" customWidth="true" hidden="false" outlineLevel="0" max="10" min="10" style="0" width="8"/>
    <col collapsed="false" customWidth="true" hidden="false" outlineLevel="0" max="14" min="11" style="0" width="10"/>
    <col collapsed="false" customWidth="true" hidden="false" outlineLevel="0" max="15" min="15" style="0" width="11"/>
    <col collapsed="false" customWidth="true" hidden="false" outlineLevel="0" max="17" min="16" style="0" width="9"/>
    <col collapsed="false" customWidth="true" hidden="false" outlineLevel="0" max="19" min="18" style="0" width="11"/>
    <col collapsed="false" customWidth="true" hidden="false" outlineLevel="0" max="22" min="20" style="0" width="13"/>
    <col collapsed="false" customWidth="true" hidden="false" outlineLevel="0" max="23" min="23" style="0" width="30"/>
  </cols>
  <sheetData>
    <row r="1" customFormat="false" ht="15" hidden="false" customHeight="false" outlineLevel="0" collapsed="false">
      <c r="A1" s="15" t="s">
        <v>1131</v>
      </c>
    </row>
    <row r="2" customFormat="false" ht="15" hidden="false" customHeight="false" outlineLevel="0" collapsed="false">
      <c r="A2" s="6" t="s">
        <v>1132</v>
      </c>
      <c r="B2" s="16" t="n">
        <v>0.4</v>
      </c>
      <c r="C2" s="6" t="s">
        <v>1133</v>
      </c>
    </row>
    <row r="3" customFormat="false" ht="15" hidden="false" customHeight="false" outlineLevel="0" collapsed="false">
      <c r="A3" s="6" t="s">
        <v>1134</v>
      </c>
      <c r="B3" s="17" t="n">
        <v>0.15</v>
      </c>
      <c r="C3" s="6" t="s">
        <v>1135</v>
      </c>
    </row>
    <row r="4" customFormat="false" ht="15" hidden="false" customHeight="false" outlineLevel="0" collapsed="false">
      <c r="A4" s="6" t="s">
        <v>1136</v>
      </c>
      <c r="B4" s="17" t="n">
        <v>2.99</v>
      </c>
      <c r="C4" s="6" t="s">
        <v>1137</v>
      </c>
    </row>
    <row r="5" customFormat="false" ht="15" hidden="false" customHeight="false" outlineLevel="0" collapsed="false">
      <c r="A5" s="6" t="s">
        <v>1138</v>
      </c>
      <c r="B5" s="17" t="n">
        <v>12.99</v>
      </c>
      <c r="C5" s="6" t="s">
        <v>1139</v>
      </c>
    </row>
    <row r="6" customFormat="false" ht="15" hidden="false" customHeight="false" outlineLevel="0" collapsed="false">
      <c r="A6" s="6" t="s">
        <v>1140</v>
      </c>
      <c r="B6" s="18" t="n">
        <v>30</v>
      </c>
      <c r="C6" s="6" t="s">
        <v>1141</v>
      </c>
    </row>
    <row r="7" customFormat="false" ht="15" hidden="false" customHeight="false" outlineLevel="0" collapsed="false">
      <c r="A7" s="6" t="s">
        <v>1142</v>
      </c>
      <c r="B7" s="19" t="n">
        <v>0.00517</v>
      </c>
      <c r="C7" s="6" t="s">
        <v>1143</v>
      </c>
    </row>
    <row r="9" customFormat="false" ht="35.05" hidden="false" customHeight="false" outlineLevel="0" collapsed="false">
      <c r="A9" s="4" t="s">
        <v>93</v>
      </c>
      <c r="B9" s="4" t="s">
        <v>38</v>
      </c>
      <c r="C9" s="4" t="s">
        <v>95</v>
      </c>
      <c r="D9" s="4" t="s">
        <v>96</v>
      </c>
      <c r="E9" s="4" t="s">
        <v>1144</v>
      </c>
      <c r="F9" s="4" t="s">
        <v>101</v>
      </c>
      <c r="G9" s="4" t="s">
        <v>1145</v>
      </c>
      <c r="H9" s="4" t="s">
        <v>1146</v>
      </c>
      <c r="I9" s="4" t="s">
        <v>105</v>
      </c>
      <c r="J9" s="4" t="s">
        <v>1147</v>
      </c>
      <c r="K9" s="4" t="s">
        <v>1148</v>
      </c>
      <c r="L9" s="4" t="s">
        <v>1149</v>
      </c>
      <c r="M9" s="4" t="s">
        <v>1150</v>
      </c>
      <c r="N9" s="4" t="s">
        <v>1151</v>
      </c>
      <c r="O9" s="4" t="s">
        <v>1124</v>
      </c>
      <c r="P9" s="4" t="s">
        <v>1152</v>
      </c>
      <c r="Q9" s="4" t="s">
        <v>1153</v>
      </c>
      <c r="R9" s="4" t="s">
        <v>1154</v>
      </c>
      <c r="S9" s="4" t="s">
        <v>1155</v>
      </c>
      <c r="T9" s="4" t="s">
        <v>1156</v>
      </c>
      <c r="U9" s="4" t="s">
        <v>1157</v>
      </c>
      <c r="V9" s="4" t="s">
        <v>1158</v>
      </c>
      <c r="W9" s="4" t="s">
        <v>1159</v>
      </c>
    </row>
    <row r="10" customFormat="false" ht="15" hidden="false" customHeight="false" outlineLevel="0" collapsed="false">
      <c r="A10" s="20" t="str">
        <f aca="false">Charts_Snapshot!A2</f>
        <v>Prayer|1</v>
      </c>
      <c r="B10" s="20" t="str">
        <f aca="false">Charts_Snapshot!B2</f>
        <v>Prayer</v>
      </c>
      <c r="C10" s="20" t="n">
        <f aca="false">Charts_Snapshot!D2</f>
        <v>1</v>
      </c>
      <c r="D10" s="20" t="str">
        <f aca="false">Charts_Snapshot!E2</f>
        <v>Contemplative Prayer (Image Classic)</v>
      </c>
      <c r="E10" s="20" t="str">
        <f aca="false">Charts_Snapshot!H2</f>
        <v>Traditional/established press</v>
      </c>
      <c r="F10" s="21" t="n">
        <f aca="false">Charts_Snapshot!J2</f>
        <v>1.99</v>
      </c>
      <c r="G10" s="22" t="n">
        <f aca="false">Charts_Snapshot!M2</f>
        <v>6841</v>
      </c>
      <c r="H10" s="20" t="n">
        <f aca="false">Charts_Snapshot!P2</f>
        <v>1.8</v>
      </c>
      <c r="I10" s="20" t="str">
        <f aca="false">Charts_Snapshot!N2</f>
        <v>N</v>
      </c>
      <c r="J10" s="6" t="n">
        <f aca="false">MIN(MATCH(G10,BSR_Table!$A$2:$A$14,1),12)</f>
        <v>7</v>
      </c>
      <c r="K10" s="8" t="n">
        <f aca="false">INDEX(BSR_Table!$A$2:$A$14,J10)</f>
        <v>5000</v>
      </c>
      <c r="L10" s="8" t="n">
        <f aca="false">INDEX(BSR_Table!$A$2:$A$14,J10+1)</f>
        <v>10000</v>
      </c>
      <c r="M10" s="23" t="n">
        <f aca="false">INDEX(BSR_Table!$B$2:$B$14,J10)</f>
        <v>30</v>
      </c>
      <c r="N10" s="23" t="n">
        <f aca="false">INDEX(BSR_Table!$B$2:$B$14,J10+1)</f>
        <v>20</v>
      </c>
      <c r="O10" s="10" t="n">
        <f aca="false">EXP(LN(M10)+(LN(G10)-LN(K10))*(LN(N10)-LN(M10))/(LN(L10)-LN(K10)))</f>
        <v>24.9734677984104</v>
      </c>
      <c r="P10" s="10" t="n">
        <f aca="false">O10*(1-$B$2)</f>
        <v>14.9840806790462</v>
      </c>
      <c r="Q10" s="10" t="n">
        <f aca="false">O10*(1+$B$2)</f>
        <v>34.9628549177745</v>
      </c>
      <c r="R10" s="7" t="n">
        <f aca="false">IF(AND(F10&gt;=$B$4,F10&lt;=$B$5),MAX(0.7*F10-$B$3*H10,0.35*F10),0.35*F10)</f>
        <v>0.6965</v>
      </c>
      <c r="S10" s="8" t="n">
        <f aca="false">O10*$B$6</f>
        <v>749.204033952311</v>
      </c>
      <c r="T10" s="24" t="n">
        <f aca="false">S10*R10</f>
        <v>521.820609647785</v>
      </c>
      <c r="U10" s="24" t="n">
        <f aca="false">P10*$B$6*R10</f>
        <v>313.092365788671</v>
      </c>
      <c r="V10" s="24" t="n">
        <f aca="false">Q10*$B$6*R10</f>
        <v>730.548853506898</v>
      </c>
      <c r="W10" s="6" t="s">
        <v>1160</v>
      </c>
    </row>
    <row r="11" customFormat="false" ht="15" hidden="false" customHeight="false" outlineLevel="0" collapsed="false">
      <c r="A11" s="20" t="str">
        <f aca="false">Charts_Snapshot!A3</f>
        <v>Prayer|2</v>
      </c>
      <c r="B11" s="20" t="str">
        <f aca="false">Charts_Snapshot!B3</f>
        <v>Prayer</v>
      </c>
      <c r="C11" s="20" t="n">
        <f aca="false">Charts_Snapshot!D3</f>
        <v>2</v>
      </c>
      <c r="D11" s="20" t="str">
        <f aca="false">Charts_Snapshot!E3</f>
        <v>Praying Like Monks, Living Like Fools: An Invitation to the Wonder and Mystery of Prayer</v>
      </c>
      <c r="E11" s="20" t="str">
        <f aca="false">Charts_Snapshot!H3</f>
        <v>Traditional/established press</v>
      </c>
      <c r="F11" s="21" t="n">
        <f aca="false">Charts_Snapshot!J3</f>
        <v>4.99</v>
      </c>
      <c r="G11" s="22" t="n">
        <f aca="false">Charts_Snapshot!M3</f>
        <v>8407</v>
      </c>
      <c r="H11" s="20" t="n">
        <f aca="false">Charts_Snapshot!P3</f>
        <v>4.1</v>
      </c>
      <c r="I11" s="20" t="str">
        <f aca="false">Charts_Snapshot!N3</f>
        <v>Y</v>
      </c>
      <c r="J11" s="6" t="n">
        <f aca="false">MIN(MATCH(G11,BSR_Table!$A$2:$A$14,1),12)</f>
        <v>7</v>
      </c>
      <c r="K11" s="8" t="n">
        <f aca="false">INDEX(BSR_Table!$A$2:$A$14,J11)</f>
        <v>5000</v>
      </c>
      <c r="L11" s="8" t="n">
        <f aca="false">INDEX(BSR_Table!$A$2:$A$14,J11+1)</f>
        <v>10000</v>
      </c>
      <c r="M11" s="23" t="n">
        <f aca="false">INDEX(BSR_Table!$B$2:$B$14,J11)</f>
        <v>30</v>
      </c>
      <c r="N11" s="23" t="n">
        <f aca="false">INDEX(BSR_Table!$B$2:$B$14,J11+1)</f>
        <v>20</v>
      </c>
      <c r="O11" s="10" t="n">
        <f aca="false">EXP(LN(M11)+(LN(G11)-LN(K11))*(LN(N11)-LN(M11))/(LN(L11)-LN(K11)))</f>
        <v>22.1366631750837</v>
      </c>
      <c r="P11" s="10" t="n">
        <f aca="false">O11*(1-$B$2)</f>
        <v>13.2819979050502</v>
      </c>
      <c r="Q11" s="10" t="n">
        <f aca="false">O11*(1+$B$2)</f>
        <v>30.9913284451172</v>
      </c>
      <c r="R11" s="7" t="n">
        <f aca="false">IF(AND(F11&gt;=$B$4,F11&lt;=$B$5),MAX(0.7*F11-$B$3*H11,0.35*F11),0.35*F11)</f>
        <v>2.878</v>
      </c>
      <c r="S11" s="8" t="n">
        <f aca="false">O11*$B$6</f>
        <v>664.099895252512</v>
      </c>
      <c r="T11" s="24" t="n">
        <f aca="false">S11*R11</f>
        <v>1911.27949853673</v>
      </c>
      <c r="U11" s="24" t="n">
        <f aca="false">P11*$B$6*R11</f>
        <v>1146.76769912204</v>
      </c>
      <c r="V11" s="24" t="n">
        <f aca="false">Q11*$B$6*R11</f>
        <v>2675.79129795142</v>
      </c>
      <c r="W11" s="6" t="s">
        <v>1160</v>
      </c>
    </row>
    <row r="12" customFormat="false" ht="15" hidden="false" customHeight="false" outlineLevel="0" collapsed="false">
      <c r="A12" s="20" t="str">
        <f aca="false">Charts_Snapshot!A4</f>
        <v>Prayer|3</v>
      </c>
      <c r="B12" s="20" t="str">
        <f aca="false">Charts_Snapshot!B4</f>
        <v>Prayer</v>
      </c>
      <c r="C12" s="20" t="n">
        <f aca="false">Charts_Snapshot!D4</f>
        <v>3</v>
      </c>
      <c r="D12" s="20" t="str">
        <f aca="false">Charts_Snapshot!E4</f>
        <v>Praying the Names of God for 52 Weeks, Expanded Edition: A Year-Long Bible Study</v>
      </c>
      <c r="E12" s="20" t="str">
        <f aca="false">Charts_Snapshot!H4</f>
        <v>Traditional/established press</v>
      </c>
      <c r="F12" s="21" t="n">
        <f aca="false">Charts_Snapshot!J4</f>
        <v>1.99</v>
      </c>
      <c r="G12" s="22" t="n">
        <f aca="false">Charts_Snapshot!M4</f>
        <v>10079</v>
      </c>
      <c r="H12" s="20" t="n">
        <f aca="false">Charts_Snapshot!P4</f>
        <v>9.2</v>
      </c>
      <c r="I12" s="20" t="str">
        <f aca="false">Charts_Snapshot!N4</f>
        <v>N</v>
      </c>
      <c r="J12" s="6" t="n">
        <f aca="false">MIN(MATCH(G12,BSR_Table!$A$2:$A$14,1),12)</f>
        <v>8</v>
      </c>
      <c r="K12" s="8" t="n">
        <f aca="false">INDEX(BSR_Table!$A$2:$A$14,J12)</f>
        <v>10000</v>
      </c>
      <c r="L12" s="8" t="n">
        <f aca="false">INDEX(BSR_Table!$A$2:$A$14,J12+1)</f>
        <v>20000</v>
      </c>
      <c r="M12" s="23" t="n">
        <f aca="false">INDEX(BSR_Table!$B$2:$B$14,J12)</f>
        <v>20</v>
      </c>
      <c r="N12" s="23" t="n">
        <f aca="false">INDEX(BSR_Table!$B$2:$B$14,J12+1)</f>
        <v>10</v>
      </c>
      <c r="O12" s="10" t="n">
        <f aca="false">EXP(LN(M12)+(LN(G12)-LN(K12))*(LN(N12)-LN(M12))/(LN(L12)-LN(K12)))</f>
        <v>19.8432384165096</v>
      </c>
      <c r="P12" s="10" t="n">
        <f aca="false">O12*(1-$B$2)</f>
        <v>11.9059430499058</v>
      </c>
      <c r="Q12" s="10" t="n">
        <f aca="false">O12*(1+$B$2)</f>
        <v>27.7805337831134</v>
      </c>
      <c r="R12" s="7" t="n">
        <f aca="false">IF(AND(F12&gt;=$B$4,F12&lt;=$B$5),MAX(0.7*F12-$B$3*H12,0.35*F12),0.35*F12)</f>
        <v>0.6965</v>
      </c>
      <c r="S12" s="8" t="n">
        <f aca="false">O12*$B$6</f>
        <v>595.297152495288</v>
      </c>
      <c r="T12" s="24" t="n">
        <f aca="false">S12*R12</f>
        <v>414.624466712968</v>
      </c>
      <c r="U12" s="24" t="n">
        <f aca="false">P12*$B$6*R12</f>
        <v>248.774680027781</v>
      </c>
      <c r="V12" s="24" t="n">
        <f aca="false">Q12*$B$6*R12</f>
        <v>580.474253398155</v>
      </c>
      <c r="W12" s="6" t="s">
        <v>1160</v>
      </c>
    </row>
    <row r="13" customFormat="false" ht="15" hidden="false" customHeight="false" outlineLevel="0" collapsed="false">
      <c r="A13" s="20" t="str">
        <f aca="false">Charts_Snapshot!A5</f>
        <v>Prayer|4</v>
      </c>
      <c r="B13" s="20" t="str">
        <f aca="false">Charts_Snapshot!B5</f>
        <v>Prayer</v>
      </c>
      <c r="C13" s="20" t="n">
        <f aca="false">Charts_Snapshot!D5</f>
        <v>4</v>
      </c>
      <c r="D13" s="20" t="str">
        <f aca="false">Charts_Snapshot!E5</f>
        <v>The Familiar Stranger: (Re)Introducing the Holy Spirit to Those in Search of an Experiential Spirituality</v>
      </c>
      <c r="E13" s="20" t="str">
        <f aca="false">Charts_Snapshot!H5</f>
        <v>Traditional/established press</v>
      </c>
      <c r="F13" s="21" t="n">
        <f aca="false">Charts_Snapshot!J5</f>
        <v>3.99</v>
      </c>
      <c r="G13" s="22" t="n">
        <f aca="false">Charts_Snapshot!M5</f>
        <v>10680</v>
      </c>
      <c r="H13" s="20" t="n">
        <f aca="false">Charts_Snapshot!P5</f>
        <v>1.3</v>
      </c>
      <c r="I13" s="20" t="str">
        <f aca="false">Charts_Snapshot!N5</f>
        <v>N</v>
      </c>
      <c r="J13" s="6" t="n">
        <f aca="false">MIN(MATCH(G13,BSR_Table!$A$2:$A$14,1),12)</f>
        <v>8</v>
      </c>
      <c r="K13" s="8" t="n">
        <f aca="false">INDEX(BSR_Table!$A$2:$A$14,J13)</f>
        <v>10000</v>
      </c>
      <c r="L13" s="8" t="n">
        <f aca="false">INDEX(BSR_Table!$A$2:$A$14,J13+1)</f>
        <v>20000</v>
      </c>
      <c r="M13" s="23" t="n">
        <f aca="false">INDEX(BSR_Table!$B$2:$B$14,J13)</f>
        <v>20</v>
      </c>
      <c r="N13" s="23" t="n">
        <f aca="false">INDEX(BSR_Table!$B$2:$B$14,J13+1)</f>
        <v>10</v>
      </c>
      <c r="O13" s="10" t="n">
        <f aca="false">EXP(LN(M13)+(LN(G13)-LN(K13))*(LN(N13)-LN(M13))/(LN(L13)-LN(K13)))</f>
        <v>18.7265917602996</v>
      </c>
      <c r="P13" s="10" t="n">
        <f aca="false">O13*(1-$B$2)</f>
        <v>11.2359550561798</v>
      </c>
      <c r="Q13" s="10" t="n">
        <f aca="false">O13*(1+$B$2)</f>
        <v>26.2172284644195</v>
      </c>
      <c r="R13" s="7" t="n">
        <f aca="false">IF(AND(F13&gt;=$B$4,F13&lt;=$B$5),MAX(0.7*F13-$B$3*H13,0.35*F13),0.35*F13)</f>
        <v>2.598</v>
      </c>
      <c r="S13" s="8" t="n">
        <f aca="false">O13*$B$6</f>
        <v>561.797752808989</v>
      </c>
      <c r="T13" s="24" t="n">
        <f aca="false">S13*R13</f>
        <v>1459.55056179775</v>
      </c>
      <c r="U13" s="24" t="n">
        <f aca="false">P13*$B$6*R13</f>
        <v>875.730337078652</v>
      </c>
      <c r="V13" s="24" t="n">
        <f aca="false">Q13*$B$6*R13</f>
        <v>2043.37078651685</v>
      </c>
      <c r="W13" s="6" t="s">
        <v>1160</v>
      </c>
    </row>
    <row r="14" customFormat="false" ht="15" hidden="false" customHeight="false" outlineLevel="0" collapsed="false">
      <c r="A14" s="20" t="str">
        <f aca="false">Charts_Snapshot!A6</f>
        <v>Prayer|5</v>
      </c>
      <c r="B14" s="20" t="str">
        <f aca="false">Charts_Snapshot!B6</f>
        <v>Prayer</v>
      </c>
      <c r="C14" s="20" t="n">
        <f aca="false">Charts_Snapshot!D6</f>
        <v>5</v>
      </c>
      <c r="D14" s="20" t="str">
        <f aca="false">Charts_Snapshot!E6</f>
        <v>Breath as Prayer: Calm Your Anxiety, Focus Your Mind, and Renew Your Soul (80+ Breath Prayers and Devotional Meditations)</v>
      </c>
      <c r="E14" s="20" t="str">
        <f aca="false">Charts_Snapshot!H6</f>
        <v>Traditional/established press</v>
      </c>
      <c r="F14" s="21" t="n">
        <f aca="false">Charts_Snapshot!J6</f>
        <v>3.99</v>
      </c>
      <c r="G14" s="22" t="n">
        <f aca="false">Charts_Snapshot!M6</f>
        <v>11490</v>
      </c>
      <c r="H14" s="20" t="n">
        <f aca="false">Charts_Snapshot!P6</f>
        <v>9.4</v>
      </c>
      <c r="I14" s="20" t="str">
        <f aca="false">Charts_Snapshot!N6</f>
        <v>Y</v>
      </c>
      <c r="J14" s="6" t="n">
        <f aca="false">MIN(MATCH(G14,BSR_Table!$A$2:$A$14,1),12)</f>
        <v>8</v>
      </c>
      <c r="K14" s="8" t="n">
        <f aca="false">INDEX(BSR_Table!$A$2:$A$14,J14)</f>
        <v>10000</v>
      </c>
      <c r="L14" s="8" t="n">
        <f aca="false">INDEX(BSR_Table!$A$2:$A$14,J14+1)</f>
        <v>20000</v>
      </c>
      <c r="M14" s="23" t="n">
        <f aca="false">INDEX(BSR_Table!$B$2:$B$14,J14)</f>
        <v>20</v>
      </c>
      <c r="N14" s="23" t="n">
        <f aca="false">INDEX(BSR_Table!$B$2:$B$14,J14+1)</f>
        <v>10</v>
      </c>
      <c r="O14" s="10" t="n">
        <f aca="false">EXP(LN(M14)+(LN(G14)-LN(K14))*(LN(N14)-LN(M14))/(LN(L14)-LN(K14)))</f>
        <v>17.4064403829417</v>
      </c>
      <c r="P14" s="10" t="n">
        <f aca="false">O14*(1-$B$2)</f>
        <v>10.443864229765</v>
      </c>
      <c r="Q14" s="10" t="n">
        <f aca="false">O14*(1+$B$2)</f>
        <v>24.3690165361184</v>
      </c>
      <c r="R14" s="7" t="n">
        <f aca="false">IF(AND(F14&gt;=$B$4,F14&lt;=$B$5),MAX(0.7*F14-$B$3*H14,0.35*F14),0.35*F14)</f>
        <v>1.3965</v>
      </c>
      <c r="S14" s="8" t="n">
        <f aca="false">O14*$B$6</f>
        <v>522.193211488251</v>
      </c>
      <c r="T14" s="24" t="n">
        <f aca="false">S14*R14</f>
        <v>729.242819843343</v>
      </c>
      <c r="U14" s="24" t="n">
        <f aca="false">P14*$B$6*R14</f>
        <v>437.545691906006</v>
      </c>
      <c r="V14" s="24" t="n">
        <f aca="false">Q14*$B$6*R14</f>
        <v>1020.93994778068</v>
      </c>
      <c r="W14" s="6" t="s">
        <v>1160</v>
      </c>
    </row>
    <row r="15" customFormat="false" ht="15" hidden="false" customHeight="false" outlineLevel="0" collapsed="false">
      <c r="A15" s="20" t="str">
        <f aca="false">Charts_Snapshot!A7</f>
        <v>Prayer|6</v>
      </c>
      <c r="B15" s="20" t="str">
        <f aca="false">Charts_Snapshot!B7</f>
        <v>Prayer</v>
      </c>
      <c r="C15" s="20" t="n">
        <f aca="false">Charts_Snapshot!D7</f>
        <v>6</v>
      </c>
      <c r="D15" s="20" t="str">
        <f aca="false">Charts_Snapshot!E7</f>
        <v>Spiritual Warfare Prayers From the Psalms: Finding Strength, Protection, and Breakthrough in God's Word - A Devotional Guide for God's Covering, Provision, Wisdom, Courage, and Cleansing</v>
      </c>
      <c r="E15" s="20" t="str">
        <f aca="false">Charts_Snapshot!H7</f>
        <v>Indie (no publisher listed)</v>
      </c>
      <c r="F15" s="21" t="n">
        <f aca="false">Charts_Snapshot!J7</f>
        <v>4.99</v>
      </c>
      <c r="G15" s="22" t="n">
        <f aca="false">Charts_Snapshot!M7</f>
        <v>11842</v>
      </c>
      <c r="H15" s="20" t="n">
        <f aca="false">Charts_Snapshot!P7</f>
        <v>2.3</v>
      </c>
      <c r="I15" s="20" t="str">
        <f aca="false">Charts_Snapshot!N7</f>
        <v>Y</v>
      </c>
      <c r="J15" s="6" t="n">
        <f aca="false">MIN(MATCH(G15,BSR_Table!$A$2:$A$14,1),12)</f>
        <v>8</v>
      </c>
      <c r="K15" s="8" t="n">
        <f aca="false">INDEX(BSR_Table!$A$2:$A$14,J15)</f>
        <v>10000</v>
      </c>
      <c r="L15" s="8" t="n">
        <f aca="false">INDEX(BSR_Table!$A$2:$A$14,J15+1)</f>
        <v>20000</v>
      </c>
      <c r="M15" s="23" t="n">
        <f aca="false">INDEX(BSR_Table!$B$2:$B$14,J15)</f>
        <v>20</v>
      </c>
      <c r="N15" s="23" t="n">
        <f aca="false">INDEX(BSR_Table!$B$2:$B$14,J15+1)</f>
        <v>10</v>
      </c>
      <c r="O15" s="10" t="n">
        <f aca="false">EXP(LN(M15)+(LN(G15)-LN(K15))*(LN(N15)-LN(M15))/(LN(L15)-LN(K15)))</f>
        <v>16.8890390136801</v>
      </c>
      <c r="P15" s="10" t="n">
        <f aca="false">O15*(1-$B$2)</f>
        <v>10.1334234082081</v>
      </c>
      <c r="Q15" s="10" t="n">
        <f aca="false">O15*(1+$B$2)</f>
        <v>23.6446546191522</v>
      </c>
      <c r="R15" s="7" t="n">
        <f aca="false">IF(AND(F15&gt;=$B$4,F15&lt;=$B$5),MAX(0.7*F15-$B$3*H15,0.35*F15),0.35*F15)</f>
        <v>3.148</v>
      </c>
      <c r="S15" s="8" t="n">
        <f aca="false">O15*$B$6</f>
        <v>506.671170410404</v>
      </c>
      <c r="T15" s="24" t="n">
        <f aca="false">S15*R15</f>
        <v>1595.00084445195</v>
      </c>
      <c r="U15" s="24" t="n">
        <f aca="false">P15*$B$6*R15</f>
        <v>957.000506671171</v>
      </c>
      <c r="V15" s="24" t="n">
        <f aca="false">Q15*$B$6*R15</f>
        <v>2233.00118223273</v>
      </c>
      <c r="W15" s="6" t="s">
        <v>1160</v>
      </c>
    </row>
    <row r="16" customFormat="false" ht="15" hidden="false" customHeight="false" outlineLevel="0" collapsed="false">
      <c r="A16" s="20" t="str">
        <f aca="false">Charts_Snapshot!A8</f>
        <v>Prayer|7</v>
      </c>
      <c r="B16" s="20" t="str">
        <f aca="false">Charts_Snapshot!B8</f>
        <v>Prayer</v>
      </c>
      <c r="C16" s="20" t="n">
        <f aca="false">Charts_Snapshot!D8</f>
        <v>7</v>
      </c>
      <c r="D16" s="20" t="str">
        <f aca="false">Charts_Snapshot!E8</f>
        <v>Principles of Prayer</v>
      </c>
      <c r="E16" s="20" t="str">
        <f aca="false">Charts_Snapshot!H8</f>
        <v>Traditional/established press</v>
      </c>
      <c r="F16" s="21" t="n">
        <f aca="false">Charts_Snapshot!J8</f>
        <v>3.99</v>
      </c>
      <c r="G16" s="22" t="n">
        <f aca="false">Charts_Snapshot!M8</f>
        <v>12101</v>
      </c>
      <c r="H16" s="20" t="n">
        <f aca="false">Charts_Snapshot!P8</f>
        <v>0.53</v>
      </c>
      <c r="I16" s="20" t="str">
        <f aca="false">Charts_Snapshot!N8</f>
        <v>N</v>
      </c>
      <c r="J16" s="6" t="n">
        <f aca="false">MIN(MATCH(G16,BSR_Table!$A$2:$A$14,1),12)</f>
        <v>8</v>
      </c>
      <c r="K16" s="8" t="n">
        <f aca="false">INDEX(BSR_Table!$A$2:$A$14,J16)</f>
        <v>10000</v>
      </c>
      <c r="L16" s="8" t="n">
        <f aca="false">INDEX(BSR_Table!$A$2:$A$14,J16+1)</f>
        <v>20000</v>
      </c>
      <c r="M16" s="23" t="n">
        <f aca="false">INDEX(BSR_Table!$B$2:$B$14,J16)</f>
        <v>20</v>
      </c>
      <c r="N16" s="23" t="n">
        <f aca="false">INDEX(BSR_Table!$B$2:$B$14,J16+1)</f>
        <v>10</v>
      </c>
      <c r="O16" s="10" t="n">
        <f aca="false">EXP(LN(M16)+(LN(G16)-LN(K16))*(LN(N16)-LN(M16))/(LN(L16)-LN(K16)))</f>
        <v>16.5275597058094</v>
      </c>
      <c r="P16" s="10" t="n">
        <f aca="false">O16*(1-$B$2)</f>
        <v>9.91653582348566</v>
      </c>
      <c r="Q16" s="10" t="n">
        <f aca="false">O16*(1+$B$2)</f>
        <v>23.1385835881332</v>
      </c>
      <c r="R16" s="7" t="n">
        <f aca="false">IF(AND(F16&gt;=$B$4,F16&lt;=$B$5),MAX(0.7*F16-$B$3*H16,0.35*F16),0.35*F16)</f>
        <v>2.7135</v>
      </c>
      <c r="S16" s="8" t="n">
        <f aca="false">O16*$B$6</f>
        <v>495.826791174283</v>
      </c>
      <c r="T16" s="24" t="n">
        <f aca="false">S16*R16</f>
        <v>1345.42599785142</v>
      </c>
      <c r="U16" s="24" t="n">
        <f aca="false">P16*$B$6*R16</f>
        <v>807.25559871085</v>
      </c>
      <c r="V16" s="24" t="n">
        <f aca="false">Q16*$B$6*R16</f>
        <v>1883.59639699198</v>
      </c>
      <c r="W16" s="6" t="s">
        <v>1160</v>
      </c>
    </row>
    <row r="17" customFormat="false" ht="15" hidden="false" customHeight="false" outlineLevel="0" collapsed="false">
      <c r="A17" s="20" t="str">
        <f aca="false">Charts_Snapshot!A9</f>
        <v>Prayer|8</v>
      </c>
      <c r="B17" s="20" t="str">
        <f aca="false">Charts_Snapshot!B9</f>
        <v>Prayer</v>
      </c>
      <c r="C17" s="20" t="n">
        <f aca="false">Charts_Snapshot!D9</f>
        <v>8</v>
      </c>
      <c r="D17" s="20" t="str">
        <f aca="false">Charts_Snapshot!E9</f>
        <v>Pray First: The Transformative Power of a Life Built on Prayer</v>
      </c>
      <c r="E17" s="20" t="str">
        <f aca="false">Charts_Snapshot!H9</f>
        <v>Traditional/established press</v>
      </c>
      <c r="F17" s="21" t="n">
        <f aca="false">Charts_Snapshot!J9</f>
        <v>2.99</v>
      </c>
      <c r="G17" s="22" t="n">
        <f aca="false">Charts_Snapshot!M9</f>
        <v>12423</v>
      </c>
      <c r="H17" s="20" t="n">
        <f aca="false">Charts_Snapshot!P9</f>
        <v>7.3</v>
      </c>
      <c r="I17" s="20" t="str">
        <f aca="false">Charts_Snapshot!N9</f>
        <v>Y</v>
      </c>
      <c r="J17" s="6" t="n">
        <f aca="false">MIN(MATCH(G17,BSR_Table!$A$2:$A$14,1),12)</f>
        <v>8</v>
      </c>
      <c r="K17" s="8" t="n">
        <f aca="false">INDEX(BSR_Table!$A$2:$A$14,J17)</f>
        <v>10000</v>
      </c>
      <c r="L17" s="8" t="n">
        <f aca="false">INDEX(BSR_Table!$A$2:$A$14,J17+1)</f>
        <v>20000</v>
      </c>
      <c r="M17" s="23" t="n">
        <f aca="false">INDEX(BSR_Table!$B$2:$B$14,J17)</f>
        <v>20</v>
      </c>
      <c r="N17" s="23" t="n">
        <f aca="false">INDEX(BSR_Table!$B$2:$B$14,J17+1)</f>
        <v>10</v>
      </c>
      <c r="O17" s="10" t="n">
        <f aca="false">EXP(LN(M17)+(LN(G17)-LN(K17))*(LN(N17)-LN(M17))/(LN(L17)-LN(K17)))</f>
        <v>16.099170892699</v>
      </c>
      <c r="P17" s="10" t="n">
        <f aca="false">O17*(1-$B$2)</f>
        <v>9.65950253561942</v>
      </c>
      <c r="Q17" s="10" t="n">
        <f aca="false">O17*(1+$B$2)</f>
        <v>22.5388392497786</v>
      </c>
      <c r="R17" s="7" t="n">
        <f aca="false">IF(AND(F17&gt;=$B$4,F17&lt;=$B$5),MAX(0.7*F17-$B$3*H17,0.35*F17),0.35*F17)</f>
        <v>1.0465</v>
      </c>
      <c r="S17" s="8" t="n">
        <f aca="false">O17*$B$6</f>
        <v>482.975126780971</v>
      </c>
      <c r="T17" s="24" t="n">
        <f aca="false">S17*R17</f>
        <v>505.433470176286</v>
      </c>
      <c r="U17" s="24" t="n">
        <f aca="false">P17*$B$6*R17</f>
        <v>303.260082105772</v>
      </c>
      <c r="V17" s="24" t="n">
        <f aca="false">Q17*$B$6*R17</f>
        <v>707.606858246801</v>
      </c>
      <c r="W17" s="6" t="s">
        <v>1160</v>
      </c>
    </row>
    <row r="18" customFormat="false" ht="15" hidden="false" customHeight="false" outlineLevel="0" collapsed="false">
      <c r="A18" s="20" t="str">
        <f aca="false">Charts_Snapshot!A10</f>
        <v>Prayer|9</v>
      </c>
      <c r="B18" s="20" t="str">
        <f aca="false">Charts_Snapshot!B10</f>
        <v>Prayer</v>
      </c>
      <c r="C18" s="20" t="n">
        <f aca="false">Charts_Snapshot!D10</f>
        <v>9</v>
      </c>
      <c r="D18" s="20" t="str">
        <f aca="false">Charts_Snapshot!E10</f>
        <v>The Game of Life and How to Play It: The Original Unabridged And Complete Edition (Florence Scovel Shinn Classics)</v>
      </c>
      <c r="E18" s="20" t="str">
        <f aca="false">Charts_Snapshot!H10</f>
        <v>Public-domain reprint</v>
      </c>
      <c r="F18" s="21" t="n">
        <f aca="false">Charts_Snapshot!J10</f>
        <v>0.99</v>
      </c>
      <c r="G18" s="22" t="n">
        <f aca="false">Charts_Snapshot!M10</f>
        <v>12807</v>
      </c>
      <c r="H18" s="20" t="n">
        <f aca="false">Charts_Snapshot!P10</f>
        <v>0.41</v>
      </c>
      <c r="I18" s="20" t="str">
        <f aca="false">Charts_Snapshot!N10</f>
        <v>N</v>
      </c>
      <c r="J18" s="6" t="n">
        <f aca="false">MIN(MATCH(G18,BSR_Table!$A$2:$A$14,1),12)</f>
        <v>8</v>
      </c>
      <c r="K18" s="8" t="n">
        <f aca="false">INDEX(BSR_Table!$A$2:$A$14,J18)</f>
        <v>10000</v>
      </c>
      <c r="L18" s="8" t="n">
        <f aca="false">INDEX(BSR_Table!$A$2:$A$14,J18+1)</f>
        <v>20000</v>
      </c>
      <c r="M18" s="23" t="n">
        <f aca="false">INDEX(BSR_Table!$B$2:$B$14,J18)</f>
        <v>20</v>
      </c>
      <c r="N18" s="23" t="n">
        <f aca="false">INDEX(BSR_Table!$B$2:$B$14,J18+1)</f>
        <v>10</v>
      </c>
      <c r="O18" s="10" t="n">
        <f aca="false">EXP(LN(M18)+(LN(G18)-LN(K18))*(LN(N18)-LN(M18))/(LN(L18)-LN(K18)))</f>
        <v>15.616459748575</v>
      </c>
      <c r="P18" s="10" t="n">
        <f aca="false">O18*(1-$B$2)</f>
        <v>9.36987584914501</v>
      </c>
      <c r="Q18" s="10" t="n">
        <f aca="false">O18*(1+$B$2)</f>
        <v>21.863043648005</v>
      </c>
      <c r="R18" s="7" t="n">
        <f aca="false">IF(AND(F18&gt;=$B$4,F18&lt;=$B$5),MAX(0.7*F18-$B$3*H18,0.35*F18),0.35*F18)</f>
        <v>0.3465</v>
      </c>
      <c r="S18" s="8" t="n">
        <f aca="false">O18*$B$6</f>
        <v>468.49379245725</v>
      </c>
      <c r="T18" s="24" t="n">
        <f aca="false">S18*R18</f>
        <v>162.333099086437</v>
      </c>
      <c r="U18" s="24" t="n">
        <f aca="false">P18*$B$6*R18</f>
        <v>97.3998594518623</v>
      </c>
      <c r="V18" s="24" t="n">
        <f aca="false">Q18*$B$6*R18</f>
        <v>227.266338721012</v>
      </c>
      <c r="W18" s="6" t="s">
        <v>1160</v>
      </c>
    </row>
    <row r="19" customFormat="false" ht="15" hidden="false" customHeight="false" outlineLevel="0" collapsed="false">
      <c r="A19" s="20" t="str">
        <f aca="false">Charts_Snapshot!A11</f>
        <v>Prayer|10</v>
      </c>
      <c r="B19" s="20" t="str">
        <f aca="false">Charts_Snapshot!B11</f>
        <v>Prayer</v>
      </c>
      <c r="C19" s="20" t="n">
        <f aca="false">Charts_Snapshot!D11</f>
        <v>10</v>
      </c>
      <c r="D19" s="20" t="str">
        <f aca="false">Charts_Snapshot!E11</f>
        <v>A Shepherd Looks at Psalm 23: Discovering God's Love for You (Timeless Faith Classics)</v>
      </c>
      <c r="E19" s="20" t="str">
        <f aca="false">Charts_Snapshot!H11</f>
        <v>Traditional/established press</v>
      </c>
      <c r="F19" s="21" t="n">
        <f aca="false">Charts_Snapshot!J11</f>
        <v>1.99</v>
      </c>
      <c r="G19" s="22" t="n">
        <f aca="false">Charts_Snapshot!M11</f>
        <v>12809</v>
      </c>
      <c r="H19" s="20" t="n">
        <f aca="false">Charts_Snapshot!P11</f>
        <v>12.5</v>
      </c>
      <c r="I19" s="20" t="str">
        <f aca="false">Charts_Snapshot!N11</f>
        <v>Y</v>
      </c>
      <c r="J19" s="6" t="n">
        <f aca="false">MIN(MATCH(G19,BSR_Table!$A$2:$A$14,1),12)</f>
        <v>8</v>
      </c>
      <c r="K19" s="8" t="n">
        <f aca="false">INDEX(BSR_Table!$A$2:$A$14,J19)</f>
        <v>10000</v>
      </c>
      <c r="L19" s="8" t="n">
        <f aca="false">INDEX(BSR_Table!$A$2:$A$14,J19+1)</f>
        <v>20000</v>
      </c>
      <c r="M19" s="23" t="n">
        <f aca="false">INDEX(BSR_Table!$B$2:$B$14,J19)</f>
        <v>20</v>
      </c>
      <c r="N19" s="23" t="n">
        <f aca="false">INDEX(BSR_Table!$B$2:$B$14,J19+1)</f>
        <v>10</v>
      </c>
      <c r="O19" s="10" t="n">
        <f aca="false">EXP(LN(M19)+(LN(G19)-LN(K19))*(LN(N19)-LN(M19))/(LN(L19)-LN(K19)))</f>
        <v>15.6140213912093</v>
      </c>
      <c r="P19" s="10" t="n">
        <f aca="false">O19*(1-$B$2)</f>
        <v>9.36841283472558</v>
      </c>
      <c r="Q19" s="10" t="n">
        <f aca="false">O19*(1+$B$2)</f>
        <v>21.859629947693</v>
      </c>
      <c r="R19" s="7" t="n">
        <f aca="false">IF(AND(F19&gt;=$B$4,F19&lt;=$B$5),MAX(0.7*F19-$B$3*H19,0.35*F19),0.35*F19)</f>
        <v>0.6965</v>
      </c>
      <c r="S19" s="8" t="n">
        <f aca="false">O19*$B$6</f>
        <v>468.420641736279</v>
      </c>
      <c r="T19" s="24" t="n">
        <f aca="false">S19*R19</f>
        <v>326.254976969319</v>
      </c>
      <c r="U19" s="24" t="n">
        <f aca="false">P19*$B$6*R19</f>
        <v>195.752986181591</v>
      </c>
      <c r="V19" s="24" t="n">
        <f aca="false">Q19*$B$6*R19</f>
        <v>456.756967757046</v>
      </c>
      <c r="W19" s="6" t="s">
        <v>1160</v>
      </c>
    </row>
    <row r="20" customFormat="false" ht="15" hidden="false" customHeight="false" outlineLevel="0" collapsed="false">
      <c r="A20" s="20" t="str">
        <f aca="false">Charts_Snapshot!A12</f>
        <v>Prayer|11</v>
      </c>
      <c r="B20" s="20" t="str">
        <f aca="false">Charts_Snapshot!B12</f>
        <v>Prayer</v>
      </c>
      <c r="C20" s="20" t="n">
        <f aca="false">Charts_Snapshot!D12</f>
        <v>11</v>
      </c>
      <c r="D20" s="20" t="str">
        <f aca="false">Charts_Snapshot!E12</f>
        <v>Trusting God with Today: A Daily Devotional for Building Confident Faith and Lasting Joy (365 Devotions - Inspiration for Every Day of the Year) (Devotionals from Charles F. Stanley)</v>
      </c>
      <c r="E20" s="20" t="str">
        <f aca="false">Charts_Snapshot!H12</f>
        <v>Traditional/established press</v>
      </c>
      <c r="F20" s="21" t="n">
        <f aca="false">Charts_Snapshot!J12</f>
        <v>3.99</v>
      </c>
      <c r="G20" s="22" t="n">
        <f aca="false">Charts_Snapshot!M12</f>
        <v>16726</v>
      </c>
      <c r="H20" s="20" t="n">
        <f aca="false">Charts_Snapshot!P12</f>
        <v>1.1</v>
      </c>
      <c r="I20" s="20" t="str">
        <f aca="false">Charts_Snapshot!N12</f>
        <v>Y</v>
      </c>
      <c r="J20" s="6" t="n">
        <f aca="false">MIN(MATCH(G20,BSR_Table!$A$2:$A$14,1),12)</f>
        <v>8</v>
      </c>
      <c r="K20" s="8" t="n">
        <f aca="false">INDEX(BSR_Table!$A$2:$A$14,J20)</f>
        <v>10000</v>
      </c>
      <c r="L20" s="8" t="n">
        <f aca="false">INDEX(BSR_Table!$A$2:$A$14,J20+1)</f>
        <v>20000</v>
      </c>
      <c r="M20" s="23" t="n">
        <f aca="false">INDEX(BSR_Table!$B$2:$B$14,J20)</f>
        <v>20</v>
      </c>
      <c r="N20" s="23" t="n">
        <f aca="false">INDEX(BSR_Table!$B$2:$B$14,J20+1)</f>
        <v>10</v>
      </c>
      <c r="O20" s="10" t="n">
        <f aca="false">EXP(LN(M20)+(LN(G20)-LN(K20))*(LN(N20)-LN(M20))/(LN(L20)-LN(K20)))</f>
        <v>11.9574315437044</v>
      </c>
      <c r="P20" s="10" t="n">
        <f aca="false">O20*(1-$B$2)</f>
        <v>7.17445892622264</v>
      </c>
      <c r="Q20" s="10" t="n">
        <f aca="false">O20*(1+$B$2)</f>
        <v>16.7404041611862</v>
      </c>
      <c r="R20" s="7" t="n">
        <f aca="false">IF(AND(F20&gt;=$B$4,F20&lt;=$B$5),MAX(0.7*F20-$B$3*H20,0.35*F20),0.35*F20)</f>
        <v>2.628</v>
      </c>
      <c r="S20" s="8" t="n">
        <f aca="false">O20*$B$6</f>
        <v>358.722946311132</v>
      </c>
      <c r="T20" s="24" t="n">
        <f aca="false">S20*R20</f>
        <v>942.723902905655</v>
      </c>
      <c r="U20" s="24" t="n">
        <f aca="false">P20*$B$6*R20</f>
        <v>565.634341743393</v>
      </c>
      <c r="V20" s="24" t="n">
        <f aca="false">Q20*$B$6*R20</f>
        <v>1319.81346406792</v>
      </c>
      <c r="W20" s="6" t="s">
        <v>1160</v>
      </c>
    </row>
    <row r="21" customFormat="false" ht="15" hidden="false" customHeight="false" outlineLevel="0" collapsed="false">
      <c r="A21" s="20" t="str">
        <f aca="false">Charts_Snapshot!A13</f>
        <v>Prayer|12</v>
      </c>
      <c r="B21" s="20" t="str">
        <f aca="false">Charts_Snapshot!B13</f>
        <v>Prayer</v>
      </c>
      <c r="C21" s="20" t="n">
        <f aca="false">Charts_Snapshot!D13</f>
        <v>12</v>
      </c>
      <c r="D21" s="20" t="str">
        <f aca="false">Charts_Snapshot!E13</f>
        <v>How to Hear God: A Simple Guide for Normal People</v>
      </c>
      <c r="E21" s="20" t="str">
        <f aca="false">Charts_Snapshot!H13</f>
        <v>Traditional/established press</v>
      </c>
      <c r="F21" s="21" t="n">
        <f aca="false">Charts_Snapshot!J13</f>
        <v>1.99</v>
      </c>
      <c r="G21" s="22" t="n">
        <f aca="false">Charts_Snapshot!M13</f>
        <v>19206</v>
      </c>
      <c r="H21" s="20" t="n">
        <f aca="false">Charts_Snapshot!P13</f>
        <v>2.1</v>
      </c>
      <c r="I21" s="20" t="str">
        <f aca="false">Charts_Snapshot!N13</f>
        <v>Y</v>
      </c>
      <c r="J21" s="6" t="n">
        <f aca="false">MIN(MATCH(G21,BSR_Table!$A$2:$A$14,1),12)</f>
        <v>8</v>
      </c>
      <c r="K21" s="8" t="n">
        <f aca="false">INDEX(BSR_Table!$A$2:$A$14,J21)</f>
        <v>10000</v>
      </c>
      <c r="L21" s="8" t="n">
        <f aca="false">INDEX(BSR_Table!$A$2:$A$14,J21+1)</f>
        <v>20000</v>
      </c>
      <c r="M21" s="23" t="n">
        <f aca="false">INDEX(BSR_Table!$B$2:$B$14,J21)</f>
        <v>20</v>
      </c>
      <c r="N21" s="23" t="n">
        <f aca="false">INDEX(BSR_Table!$B$2:$B$14,J21+1)</f>
        <v>10</v>
      </c>
      <c r="O21" s="10" t="n">
        <f aca="false">EXP(LN(M21)+(LN(G21)-LN(K21))*(LN(N21)-LN(M21))/(LN(L21)-LN(K21)))</f>
        <v>10.4134124752681</v>
      </c>
      <c r="P21" s="10" t="n">
        <f aca="false">O21*(1-$B$2)</f>
        <v>6.24804748516088</v>
      </c>
      <c r="Q21" s="10" t="n">
        <f aca="false">O21*(1+$B$2)</f>
        <v>14.5787774653754</v>
      </c>
      <c r="R21" s="7" t="n">
        <f aca="false">IF(AND(F21&gt;=$B$4,F21&lt;=$B$5),MAX(0.7*F21-$B$3*H21,0.35*F21),0.35*F21)</f>
        <v>0.6965</v>
      </c>
      <c r="S21" s="8" t="n">
        <f aca="false">O21*$B$6</f>
        <v>312.402374258044</v>
      </c>
      <c r="T21" s="24" t="n">
        <f aca="false">S21*R21</f>
        <v>217.588253670728</v>
      </c>
      <c r="U21" s="24" t="n">
        <f aca="false">P21*$B$6*R21</f>
        <v>130.552952202437</v>
      </c>
      <c r="V21" s="24" t="n">
        <f aca="false">Q21*$B$6*R21</f>
        <v>304.623555139019</v>
      </c>
      <c r="W21" s="6" t="s">
        <v>1160</v>
      </c>
    </row>
    <row r="22" customFormat="false" ht="15" hidden="false" customHeight="false" outlineLevel="0" collapsed="false">
      <c r="A22" s="20" t="str">
        <f aca="false">Charts_Snapshot!A14</f>
        <v>Prayer|13</v>
      </c>
      <c r="B22" s="20" t="str">
        <f aca="false">Charts_Snapshot!B14</f>
        <v>Prayer</v>
      </c>
      <c r="C22" s="20" t="n">
        <f aca="false">Charts_Snapshot!D14</f>
        <v>13</v>
      </c>
      <c r="D22" s="20" t="str">
        <f aca="false">Charts_Snapshot!E14</f>
        <v>Jesus Listens: Daily Devotional Prayers of Peace, Joy, and Hope (A 365-Day Prayer Book)</v>
      </c>
      <c r="E22" s="20" t="str">
        <f aca="false">Charts_Snapshot!H14</f>
        <v>Traditional/established press</v>
      </c>
      <c r="F22" s="21" t="n">
        <f aca="false">Charts_Snapshot!J14</f>
        <v>3.99</v>
      </c>
      <c r="G22" s="22" t="n">
        <f aca="false">Charts_Snapshot!M14</f>
        <v>21263</v>
      </c>
      <c r="H22" s="20" t="n">
        <f aca="false">Charts_Snapshot!P14</f>
        <v>1.2</v>
      </c>
      <c r="I22" s="20" t="str">
        <f aca="false">Charts_Snapshot!N14</f>
        <v>Y</v>
      </c>
      <c r="J22" s="6" t="n">
        <f aca="false">MIN(MATCH(G22,BSR_Table!$A$2:$A$14,1),12)</f>
        <v>9</v>
      </c>
      <c r="K22" s="8" t="n">
        <f aca="false">INDEX(BSR_Table!$A$2:$A$14,J22)</f>
        <v>20000</v>
      </c>
      <c r="L22" s="8" t="n">
        <f aca="false">INDEX(BSR_Table!$A$2:$A$14,J22+1)</f>
        <v>50000</v>
      </c>
      <c r="M22" s="23" t="n">
        <f aca="false">INDEX(BSR_Table!$B$2:$B$14,J22)</f>
        <v>10</v>
      </c>
      <c r="N22" s="23" t="n">
        <f aca="false">INDEX(BSR_Table!$B$2:$B$14,J22+1)</f>
        <v>4</v>
      </c>
      <c r="O22" s="10" t="n">
        <f aca="false">EXP(LN(M22)+(LN(G22)-LN(K22))*(LN(N22)-LN(M22))/(LN(L22)-LN(K22)))</f>
        <v>9.40601044067158</v>
      </c>
      <c r="P22" s="10" t="n">
        <f aca="false">O22*(1-$B$2)</f>
        <v>5.64360626440295</v>
      </c>
      <c r="Q22" s="10" t="n">
        <f aca="false">O22*(1+$B$2)</f>
        <v>13.1684146169402</v>
      </c>
      <c r="R22" s="7" t="n">
        <f aca="false">IF(AND(F22&gt;=$B$4,F22&lt;=$B$5),MAX(0.7*F22-$B$3*H22,0.35*F22),0.35*F22)</f>
        <v>2.613</v>
      </c>
      <c r="S22" s="8" t="n">
        <f aca="false">O22*$B$6</f>
        <v>282.180313220147</v>
      </c>
      <c r="T22" s="24" t="n">
        <f aca="false">S22*R22</f>
        <v>737.337158444245</v>
      </c>
      <c r="U22" s="24" t="n">
        <f aca="false">P22*$B$6*R22</f>
        <v>442.402295066547</v>
      </c>
      <c r="V22" s="24" t="n">
        <f aca="false">Q22*$B$6*R22</f>
        <v>1032.27202182194</v>
      </c>
      <c r="W22" s="6" t="s">
        <v>1160</v>
      </c>
    </row>
    <row r="23" customFormat="false" ht="15" hidden="false" customHeight="false" outlineLevel="0" collapsed="false">
      <c r="A23" s="20" t="str">
        <f aca="false">Charts_Snapshot!A15</f>
        <v>Prayer|14</v>
      </c>
      <c r="B23" s="20" t="str">
        <f aca="false">Charts_Snapshot!B15</f>
        <v>Prayer</v>
      </c>
      <c r="C23" s="20" t="n">
        <f aca="false">Charts_Snapshot!D15</f>
        <v>14</v>
      </c>
      <c r="D23" s="20" t="str">
        <f aca="false">Charts_Snapshot!E15</f>
        <v>When You Don't Know What to Pray: 100 Essential Prayers for Enduring Life's Storms</v>
      </c>
      <c r="E23" s="20" t="str">
        <f aca="false">Charts_Snapshot!H15</f>
        <v>Traditional/established press</v>
      </c>
      <c r="F23" s="21" t="n">
        <f aca="false">Charts_Snapshot!J15</f>
        <v>3.99</v>
      </c>
      <c r="G23" s="22" t="n">
        <f aca="false">Charts_Snapshot!M15</f>
        <v>25925</v>
      </c>
      <c r="H23" s="20" t="n">
        <f aca="false">Charts_Snapshot!P15</f>
        <v>5.5</v>
      </c>
      <c r="I23" s="20" t="str">
        <f aca="false">Charts_Snapshot!N15</f>
        <v>N</v>
      </c>
      <c r="J23" s="6" t="n">
        <f aca="false">MIN(MATCH(G23,BSR_Table!$A$2:$A$14,1),12)</f>
        <v>9</v>
      </c>
      <c r="K23" s="8" t="n">
        <f aca="false">INDEX(BSR_Table!$A$2:$A$14,J23)</f>
        <v>20000</v>
      </c>
      <c r="L23" s="8" t="n">
        <f aca="false">INDEX(BSR_Table!$A$2:$A$14,J23+1)</f>
        <v>50000</v>
      </c>
      <c r="M23" s="23" t="n">
        <f aca="false">INDEX(BSR_Table!$B$2:$B$14,J23)</f>
        <v>10</v>
      </c>
      <c r="N23" s="23" t="n">
        <f aca="false">INDEX(BSR_Table!$B$2:$B$14,J23+1)</f>
        <v>4</v>
      </c>
      <c r="O23" s="10" t="n">
        <f aca="false">EXP(LN(M23)+(LN(G23)-LN(K23))*(LN(N23)-LN(M23))/(LN(L23)-LN(K23)))</f>
        <v>7.71456123432979</v>
      </c>
      <c r="P23" s="10" t="n">
        <f aca="false">O23*(1-$B$2)</f>
        <v>4.62873674059787</v>
      </c>
      <c r="Q23" s="10" t="n">
        <f aca="false">O23*(1+$B$2)</f>
        <v>10.8003857280617</v>
      </c>
      <c r="R23" s="7" t="n">
        <f aca="false">IF(AND(F23&gt;=$B$4,F23&lt;=$B$5),MAX(0.7*F23-$B$3*H23,0.35*F23),0.35*F23)</f>
        <v>1.968</v>
      </c>
      <c r="S23" s="8" t="n">
        <f aca="false">O23*$B$6</f>
        <v>231.436837029894</v>
      </c>
      <c r="T23" s="24" t="n">
        <f aca="false">S23*R23</f>
        <v>455.467695274831</v>
      </c>
      <c r="U23" s="24" t="n">
        <f aca="false">P23*$B$6*R23</f>
        <v>273.280617164899</v>
      </c>
      <c r="V23" s="24" t="n">
        <f aca="false">Q23*$B$6*R23</f>
        <v>637.654773384763</v>
      </c>
      <c r="W23" s="6" t="s">
        <v>1160</v>
      </c>
    </row>
    <row r="24" customFormat="false" ht="15" hidden="false" customHeight="false" outlineLevel="0" collapsed="false">
      <c r="A24" s="20" t="str">
        <f aca="false">Charts_Snapshot!A16</f>
        <v>Prayer|15</v>
      </c>
      <c r="B24" s="20" t="str">
        <f aca="false">Charts_Snapshot!B16</f>
        <v>Prayer</v>
      </c>
      <c r="C24" s="20" t="n">
        <f aca="false">Charts_Snapshot!D16</f>
        <v>15</v>
      </c>
      <c r="D24" s="20" t="str">
        <f aca="false">Charts_Snapshot!E16</f>
        <v>Demons Must Flee: A Deliverance Prayer Book for Casting Out Demons, Unclean Spirits, and Spiritual Warfare</v>
      </c>
      <c r="E24" s="20" t="str">
        <f aca="false">Charts_Snapshot!H16</f>
        <v>Indie imprint (inferred)</v>
      </c>
      <c r="F24" s="21" t="n">
        <f aca="false">Charts_Snapshot!J16</f>
        <v>5.95</v>
      </c>
      <c r="G24" s="22" t="n">
        <f aca="false">Charts_Snapshot!M16</f>
        <v>27249</v>
      </c>
      <c r="H24" s="20" t="n">
        <f aca="false">Charts_Snapshot!P16</f>
        <v>1.2</v>
      </c>
      <c r="I24" s="20" t="str">
        <f aca="false">Charts_Snapshot!N16</f>
        <v>Y</v>
      </c>
      <c r="J24" s="6" t="n">
        <f aca="false">MIN(MATCH(G24,BSR_Table!$A$2:$A$14,1),12)</f>
        <v>9</v>
      </c>
      <c r="K24" s="8" t="n">
        <f aca="false">INDEX(BSR_Table!$A$2:$A$14,J24)</f>
        <v>20000</v>
      </c>
      <c r="L24" s="8" t="n">
        <f aca="false">INDEX(BSR_Table!$A$2:$A$14,J24+1)</f>
        <v>50000</v>
      </c>
      <c r="M24" s="23" t="n">
        <f aca="false">INDEX(BSR_Table!$B$2:$B$14,J24)</f>
        <v>10</v>
      </c>
      <c r="N24" s="23" t="n">
        <f aca="false">INDEX(BSR_Table!$B$2:$B$14,J24+1)</f>
        <v>4</v>
      </c>
      <c r="O24" s="10" t="n">
        <f aca="false">EXP(LN(M24)+(LN(G24)-LN(K24))*(LN(N24)-LN(M24))/(LN(L24)-LN(K24)))</f>
        <v>7.33971888876656</v>
      </c>
      <c r="P24" s="10" t="n">
        <f aca="false">O24*(1-$B$2)</f>
        <v>4.40383133325994</v>
      </c>
      <c r="Q24" s="10" t="n">
        <f aca="false">O24*(1+$B$2)</f>
        <v>10.2756064442732</v>
      </c>
      <c r="R24" s="7" t="n">
        <f aca="false">IF(AND(F24&gt;=$B$4,F24&lt;=$B$5),MAX(0.7*F24-$B$3*H24,0.35*F24),0.35*F24)</f>
        <v>3.985</v>
      </c>
      <c r="S24" s="8" t="n">
        <f aca="false">O24*$B$6</f>
        <v>220.191566662997</v>
      </c>
      <c r="T24" s="24" t="n">
        <f aca="false">S24*R24</f>
        <v>877.463393152042</v>
      </c>
      <c r="U24" s="24" t="n">
        <f aca="false">P24*$B$6*R24</f>
        <v>526.478035891225</v>
      </c>
      <c r="V24" s="24" t="n">
        <f aca="false">Q24*$B$6*R24</f>
        <v>1228.44875041286</v>
      </c>
      <c r="W24" s="6" t="s">
        <v>1160</v>
      </c>
    </row>
    <row r="25" customFormat="false" ht="15" hidden="false" customHeight="false" outlineLevel="0" collapsed="false">
      <c r="A25" s="20" t="str">
        <f aca="false">Charts_Snapshot!A17</f>
        <v>Prayer|16</v>
      </c>
      <c r="B25" s="20" t="str">
        <f aca="false">Charts_Snapshot!B17</f>
        <v>Prayer</v>
      </c>
      <c r="C25" s="20" t="n">
        <f aca="false">Charts_Snapshot!D17</f>
        <v>16</v>
      </c>
      <c r="D25" s="20" t="str">
        <f aca="false">Charts_Snapshot!E17</f>
        <v>Devotions for the Fall: Celebrate the Harvest Season with Gratitude and Joy (A 40-Day Devotional)</v>
      </c>
      <c r="E25" s="20" t="str">
        <f aca="false">Charts_Snapshot!H17</f>
        <v>Traditional/established press</v>
      </c>
      <c r="F25" s="21" t="n">
        <f aca="false">Charts_Snapshot!J17</f>
        <v>3.99</v>
      </c>
      <c r="G25" s="22" t="n">
        <f aca="false">Charts_Snapshot!M17</f>
        <v>28989</v>
      </c>
      <c r="H25" s="20" t="n">
        <f aca="false">Charts_Snapshot!P17</f>
        <v>40.8</v>
      </c>
      <c r="I25" s="20" t="str">
        <f aca="false">Charts_Snapshot!N17</f>
        <v>Y</v>
      </c>
      <c r="J25" s="6" t="n">
        <f aca="false">MIN(MATCH(G25,BSR_Table!$A$2:$A$14,1),12)</f>
        <v>9</v>
      </c>
      <c r="K25" s="8" t="n">
        <f aca="false">INDEX(BSR_Table!$A$2:$A$14,J25)</f>
        <v>20000</v>
      </c>
      <c r="L25" s="8" t="n">
        <f aca="false">INDEX(BSR_Table!$A$2:$A$14,J25+1)</f>
        <v>50000</v>
      </c>
      <c r="M25" s="23" t="n">
        <f aca="false">INDEX(BSR_Table!$B$2:$B$14,J25)</f>
        <v>10</v>
      </c>
      <c r="N25" s="23" t="n">
        <f aca="false">INDEX(BSR_Table!$B$2:$B$14,J25+1)</f>
        <v>4</v>
      </c>
      <c r="O25" s="10" t="n">
        <f aca="false">EXP(LN(M25)+(LN(G25)-LN(K25))*(LN(N25)-LN(M25))/(LN(L25)-LN(K25)))</f>
        <v>6.89916865017766</v>
      </c>
      <c r="P25" s="10" t="n">
        <f aca="false">O25*(1-$B$2)</f>
        <v>4.13950119010659</v>
      </c>
      <c r="Q25" s="10" t="n">
        <f aca="false">O25*(1+$B$2)</f>
        <v>9.65883611024872</v>
      </c>
      <c r="R25" s="7" t="n">
        <f aca="false">IF(AND(F25&gt;=$B$4,F25&lt;=$B$5),MAX(0.7*F25-$B$3*H25,0.35*F25),0.35*F25)</f>
        <v>1.3965</v>
      </c>
      <c r="S25" s="8" t="n">
        <f aca="false">O25*$B$6</f>
        <v>206.97505950533</v>
      </c>
      <c r="T25" s="24" t="n">
        <f aca="false">S25*R25</f>
        <v>289.040670599193</v>
      </c>
      <c r="U25" s="24" t="n">
        <f aca="false">P25*$B$6*R25</f>
        <v>173.424402359516</v>
      </c>
      <c r="V25" s="24" t="n">
        <f aca="false">Q25*$B$6*R25</f>
        <v>404.65693883887</v>
      </c>
      <c r="W25" s="6" t="s">
        <v>1160</v>
      </c>
    </row>
    <row r="26" customFormat="false" ht="15" hidden="false" customHeight="false" outlineLevel="0" collapsed="false">
      <c r="A26" s="20" t="str">
        <f aca="false">Charts_Snapshot!A18</f>
        <v>Prayer|17</v>
      </c>
      <c r="B26" s="20" t="str">
        <f aca="false">Charts_Snapshot!B18</f>
        <v>Prayer</v>
      </c>
      <c r="C26" s="20" t="n">
        <f aca="false">Charts_Snapshot!D18</f>
        <v>17</v>
      </c>
      <c r="D26" s="20" t="str">
        <f aca="false">Charts_Snapshot!E18</f>
        <v>A Return to Love: Reflections on the Principles of A Course in Miracles —A Spiritual Guide to Inner Peace and Fulfillment (The Marianne Williamson Series)</v>
      </c>
      <c r="E26" s="20" t="str">
        <f aca="false">Charts_Snapshot!H18</f>
        <v>Traditional/established press</v>
      </c>
      <c r="F26" s="21" t="n">
        <f aca="false">Charts_Snapshot!J18</f>
        <v>12.99</v>
      </c>
      <c r="G26" s="22" t="n">
        <f aca="false">Charts_Snapshot!M18</f>
        <v>29184</v>
      </c>
      <c r="H26" s="20" t="n">
        <f aca="false">Charts_Snapshot!P18</f>
        <v>2.6</v>
      </c>
      <c r="I26" s="20" t="str">
        <f aca="false">Charts_Snapshot!N18</f>
        <v>Y</v>
      </c>
      <c r="J26" s="6" t="n">
        <f aca="false">MIN(MATCH(G26,BSR_Table!$A$2:$A$14,1),12)</f>
        <v>9</v>
      </c>
      <c r="K26" s="8" t="n">
        <f aca="false">INDEX(BSR_Table!$A$2:$A$14,J26)</f>
        <v>20000</v>
      </c>
      <c r="L26" s="8" t="n">
        <f aca="false">INDEX(BSR_Table!$A$2:$A$14,J26+1)</f>
        <v>50000</v>
      </c>
      <c r="M26" s="23" t="n">
        <f aca="false">INDEX(BSR_Table!$B$2:$B$14,J26)</f>
        <v>10</v>
      </c>
      <c r="N26" s="23" t="n">
        <f aca="false">INDEX(BSR_Table!$B$2:$B$14,J26+1)</f>
        <v>4</v>
      </c>
      <c r="O26" s="10" t="n">
        <f aca="false">EXP(LN(M26)+(LN(G26)-LN(K26))*(LN(N26)-LN(M26))/(LN(L26)-LN(K26)))</f>
        <v>6.85307017543859</v>
      </c>
      <c r="P26" s="10" t="n">
        <f aca="false">O26*(1-$B$2)</f>
        <v>4.11184210526316</v>
      </c>
      <c r="Q26" s="10" t="n">
        <f aca="false">O26*(1+$B$2)</f>
        <v>9.59429824561403</v>
      </c>
      <c r="R26" s="7" t="n">
        <f aca="false">IF(AND(F26&gt;=$B$4,F26&lt;=$B$5),MAX(0.7*F26-$B$3*H26,0.35*F26),0.35*F26)</f>
        <v>8.703</v>
      </c>
      <c r="S26" s="8" t="n">
        <f aca="false">O26*$B$6</f>
        <v>205.592105263158</v>
      </c>
      <c r="T26" s="24" t="n">
        <f aca="false">S26*R26</f>
        <v>1789.26809210526</v>
      </c>
      <c r="U26" s="24" t="n">
        <f aca="false">P26*$B$6*R26</f>
        <v>1073.56085526316</v>
      </c>
      <c r="V26" s="24" t="n">
        <f aca="false">Q26*$B$6*R26</f>
        <v>2504.97532894737</v>
      </c>
      <c r="W26" s="6" t="s">
        <v>1160</v>
      </c>
    </row>
    <row r="27" customFormat="false" ht="15" hidden="false" customHeight="false" outlineLevel="0" collapsed="false">
      <c r="A27" s="20" t="str">
        <f aca="false">Charts_Snapshot!A19</f>
        <v>Prayer|18</v>
      </c>
      <c r="B27" s="20" t="str">
        <f aca="false">Charts_Snapshot!B19</f>
        <v>Prayer</v>
      </c>
      <c r="C27" s="20" t="n">
        <f aca="false">Charts_Snapshot!D19</f>
        <v>18</v>
      </c>
      <c r="D27" s="20" t="str">
        <f aca="false">Charts_Snapshot!E19</f>
        <v>The Prayer of Jabez: Breaking Through to the Blessed Life (Breakthrough Series Book 1)</v>
      </c>
      <c r="E27" s="20" t="str">
        <f aca="false">Charts_Snapshot!H19</f>
        <v>Traditional/established press</v>
      </c>
      <c r="F27" s="21" t="n">
        <f aca="false">Charts_Snapshot!J19</f>
        <v>1.99</v>
      </c>
      <c r="G27" s="22" t="n">
        <f aca="false">Charts_Snapshot!M19</f>
        <v>30929</v>
      </c>
      <c r="H27" s="20" t="n">
        <f aca="false">Charts_Snapshot!P19</f>
        <v>0.18</v>
      </c>
      <c r="I27" s="20" t="str">
        <f aca="false">Charts_Snapshot!N19</f>
        <v>N</v>
      </c>
      <c r="J27" s="6" t="n">
        <f aca="false">MIN(MATCH(G27,BSR_Table!$A$2:$A$14,1),12)</f>
        <v>9</v>
      </c>
      <c r="K27" s="8" t="n">
        <f aca="false">INDEX(BSR_Table!$A$2:$A$14,J27)</f>
        <v>20000</v>
      </c>
      <c r="L27" s="8" t="n">
        <f aca="false">INDEX(BSR_Table!$A$2:$A$14,J27+1)</f>
        <v>50000</v>
      </c>
      <c r="M27" s="23" t="n">
        <f aca="false">INDEX(BSR_Table!$B$2:$B$14,J27)</f>
        <v>10</v>
      </c>
      <c r="N27" s="23" t="n">
        <f aca="false">INDEX(BSR_Table!$B$2:$B$14,J27+1)</f>
        <v>4</v>
      </c>
      <c r="O27" s="10" t="n">
        <f aca="false">EXP(LN(M27)+(LN(G27)-LN(K27))*(LN(N27)-LN(M27))/(LN(L27)-LN(K27)))</f>
        <v>6.4664230980633</v>
      </c>
      <c r="P27" s="10" t="n">
        <f aca="false">O27*(1-$B$2)</f>
        <v>3.87985385883798</v>
      </c>
      <c r="Q27" s="10" t="n">
        <f aca="false">O27*(1+$B$2)</f>
        <v>9.05299233728862</v>
      </c>
      <c r="R27" s="7" t="n">
        <f aca="false">IF(AND(F27&gt;=$B$4,F27&lt;=$B$5),MAX(0.7*F27-$B$3*H27,0.35*F27),0.35*F27)</f>
        <v>0.6965</v>
      </c>
      <c r="S27" s="8" t="n">
        <f aca="false">O27*$B$6</f>
        <v>193.992692941899</v>
      </c>
      <c r="T27" s="24" t="n">
        <f aca="false">S27*R27</f>
        <v>135.115910634033</v>
      </c>
      <c r="U27" s="24" t="n">
        <f aca="false">P27*$B$6*R27</f>
        <v>81.0695463804196</v>
      </c>
      <c r="V27" s="24" t="n">
        <f aca="false">Q27*$B$6*R27</f>
        <v>189.162274887646</v>
      </c>
      <c r="W27" s="6" t="s">
        <v>1160</v>
      </c>
    </row>
    <row r="28" customFormat="false" ht="15" hidden="false" customHeight="false" outlineLevel="0" collapsed="false">
      <c r="A28" s="20" t="str">
        <f aca="false">Charts_Snapshot!A20</f>
        <v>Prayer|19</v>
      </c>
      <c r="B28" s="20" t="str">
        <f aca="false">Charts_Snapshot!B20</f>
        <v>Prayer</v>
      </c>
      <c r="C28" s="20" t="n">
        <f aca="false">Charts_Snapshot!D20</f>
        <v>19</v>
      </c>
      <c r="D28" s="20" t="str">
        <f aca="false">Charts_Snapshot!E20</f>
        <v>When We Talk to God: Prayers and Poems for Black Women</v>
      </c>
      <c r="E28" s="20" t="str">
        <f aca="false">Charts_Snapshot!H20</f>
        <v>Traditional/established press</v>
      </c>
      <c r="F28" s="21" t="n">
        <f aca="false">Charts_Snapshot!J20</f>
        <v>3.99</v>
      </c>
      <c r="G28" s="22" t="n">
        <f aca="false">Charts_Snapshot!M20</f>
        <v>32016</v>
      </c>
      <c r="H28" s="20" t="n">
        <f aca="false">Charts_Snapshot!P20</f>
        <v>13.2</v>
      </c>
      <c r="I28" s="20" t="str">
        <f aca="false">Charts_Snapshot!N20</f>
        <v>Y</v>
      </c>
      <c r="J28" s="6" t="n">
        <f aca="false">MIN(MATCH(G28,BSR_Table!$A$2:$A$14,1),12)</f>
        <v>9</v>
      </c>
      <c r="K28" s="8" t="n">
        <f aca="false">INDEX(BSR_Table!$A$2:$A$14,J28)</f>
        <v>20000</v>
      </c>
      <c r="L28" s="8" t="n">
        <f aca="false">INDEX(BSR_Table!$A$2:$A$14,J28+1)</f>
        <v>50000</v>
      </c>
      <c r="M28" s="23" t="n">
        <f aca="false">INDEX(BSR_Table!$B$2:$B$14,J28)</f>
        <v>10</v>
      </c>
      <c r="N28" s="23" t="n">
        <f aca="false">INDEX(BSR_Table!$B$2:$B$14,J28+1)</f>
        <v>4</v>
      </c>
      <c r="O28" s="10" t="n">
        <f aca="false">EXP(LN(M28)+(LN(G28)-LN(K28))*(LN(N28)-LN(M28))/(LN(L28)-LN(K28)))</f>
        <v>6.24687656171914</v>
      </c>
      <c r="P28" s="10" t="n">
        <f aca="false">O28*(1-$B$2)</f>
        <v>3.74812593703148</v>
      </c>
      <c r="Q28" s="10" t="n">
        <f aca="false">O28*(1+$B$2)</f>
        <v>8.74562718640679</v>
      </c>
      <c r="R28" s="7" t="n">
        <f aca="false">IF(AND(F28&gt;=$B$4,F28&lt;=$B$5),MAX(0.7*F28-$B$3*H28,0.35*F28),0.35*F28)</f>
        <v>1.3965</v>
      </c>
      <c r="S28" s="8" t="n">
        <f aca="false">O28*$B$6</f>
        <v>187.406296851574</v>
      </c>
      <c r="T28" s="24" t="n">
        <f aca="false">S28*R28</f>
        <v>261.712893553223</v>
      </c>
      <c r="U28" s="24" t="n">
        <f aca="false">P28*$B$6*R28</f>
        <v>157.027736131934</v>
      </c>
      <c r="V28" s="24" t="n">
        <f aca="false">Q28*$B$6*R28</f>
        <v>366.398050974513</v>
      </c>
      <c r="W28" s="6" t="s">
        <v>1160</v>
      </c>
    </row>
    <row r="29" customFormat="false" ht="15" hidden="false" customHeight="false" outlineLevel="0" collapsed="false">
      <c r="A29" s="20" t="str">
        <f aca="false">Charts_Snapshot!A21</f>
        <v>Prayer|20</v>
      </c>
      <c r="B29" s="20" t="str">
        <f aca="false">Charts_Snapshot!B21</f>
        <v>Prayer</v>
      </c>
      <c r="C29" s="20" t="n">
        <f aca="false">Charts_Snapshot!D21</f>
        <v>20</v>
      </c>
      <c r="D29" s="20" t="str">
        <f aca="false">Charts_Snapshot!E21</f>
        <v>The Circle Maker: Praying Circles Around Your Biggest Dreams and Greatest Fears</v>
      </c>
      <c r="E29" s="20" t="str">
        <f aca="false">Charts_Snapshot!H21</f>
        <v>Traditional/established press</v>
      </c>
      <c r="F29" s="21" t="n">
        <f aca="false">Charts_Snapshot!J21</f>
        <v>12.99</v>
      </c>
      <c r="G29" s="22" t="n">
        <f aca="false">Charts_Snapshot!M21</f>
        <v>33340</v>
      </c>
      <c r="H29" s="20" t="n">
        <f aca="false">Charts_Snapshot!P21</f>
        <v>2.2</v>
      </c>
      <c r="I29" s="20" t="str">
        <f aca="false">Charts_Snapshot!N21</f>
        <v>Y</v>
      </c>
      <c r="J29" s="6" t="n">
        <f aca="false">MIN(MATCH(G29,BSR_Table!$A$2:$A$14,1),12)</f>
        <v>9</v>
      </c>
      <c r="K29" s="8" t="n">
        <f aca="false">INDEX(BSR_Table!$A$2:$A$14,J29)</f>
        <v>20000</v>
      </c>
      <c r="L29" s="8" t="n">
        <f aca="false">INDEX(BSR_Table!$A$2:$A$14,J29+1)</f>
        <v>50000</v>
      </c>
      <c r="M29" s="23" t="n">
        <f aca="false">INDEX(BSR_Table!$B$2:$B$14,J29)</f>
        <v>10</v>
      </c>
      <c r="N29" s="23" t="n">
        <f aca="false">INDEX(BSR_Table!$B$2:$B$14,J29+1)</f>
        <v>4</v>
      </c>
      <c r="O29" s="10" t="n">
        <f aca="false">EXP(LN(M29)+(LN(G29)-LN(K29))*(LN(N29)-LN(M29))/(LN(L29)-LN(K29)))</f>
        <v>5.99880023995201</v>
      </c>
      <c r="P29" s="10" t="n">
        <f aca="false">O29*(1-$B$2)</f>
        <v>3.5992801439712</v>
      </c>
      <c r="Q29" s="10" t="n">
        <f aca="false">O29*(1+$B$2)</f>
        <v>8.39832033593281</v>
      </c>
      <c r="R29" s="7" t="n">
        <f aca="false">IF(AND(F29&gt;=$B$4,F29&lt;=$B$5),MAX(0.7*F29-$B$3*H29,0.35*F29),0.35*F29)</f>
        <v>8.763</v>
      </c>
      <c r="S29" s="8" t="n">
        <f aca="false">O29*$B$6</f>
        <v>179.96400719856</v>
      </c>
      <c r="T29" s="24" t="n">
        <f aca="false">S29*R29</f>
        <v>1577.02459508098</v>
      </c>
      <c r="U29" s="24" t="n">
        <f aca="false">P29*$B$6*R29</f>
        <v>946.21475704859</v>
      </c>
      <c r="V29" s="24" t="n">
        <f aca="false">Q29*$B$6*R29</f>
        <v>2207.83443311338</v>
      </c>
      <c r="W29" s="6" t="s">
        <v>1160</v>
      </c>
    </row>
    <row r="30" customFormat="false" ht="15" hidden="false" customHeight="false" outlineLevel="0" collapsed="false">
      <c r="A30" s="20" t="str">
        <f aca="false">Charts_Snapshot!A22</f>
        <v>Stress Management|1</v>
      </c>
      <c r="B30" s="20" t="str">
        <f aca="false">Charts_Snapshot!B22</f>
        <v>Stress Management</v>
      </c>
      <c r="C30" s="20" t="n">
        <f aca="false">Charts_Snapshot!D22</f>
        <v>1</v>
      </c>
      <c r="D30" s="20" t="str">
        <f aca="false">Charts_Snapshot!E22</f>
        <v>Protocols: An Operating Manual for the Human Body</v>
      </c>
      <c r="E30" s="20" t="str">
        <f aca="false">Charts_Snapshot!H22</f>
        <v>Traditional/established press</v>
      </c>
      <c r="F30" s="21" t="n">
        <f aca="false">Charts_Snapshot!J22</f>
        <v>16.99</v>
      </c>
      <c r="G30" s="22" t="n">
        <f aca="false">Charts_Snapshot!M22</f>
        <v>426</v>
      </c>
      <c r="H30" s="20" t="n">
        <f aca="false">Charts_Snapshot!P22</f>
        <v>2.3</v>
      </c>
      <c r="I30" s="20" t="str">
        <f aca="false">Charts_Snapshot!N22</f>
        <v>N</v>
      </c>
      <c r="J30" s="6" t="n">
        <f aca="false">MIN(MATCH(G30,BSR_Table!$A$2:$A$14,1),12)</f>
        <v>3</v>
      </c>
      <c r="K30" s="8" t="n">
        <f aca="false">INDEX(BSR_Table!$A$2:$A$14,J30)</f>
        <v>250</v>
      </c>
      <c r="L30" s="8" t="n">
        <f aca="false">INDEX(BSR_Table!$A$2:$A$14,J30+1)</f>
        <v>500</v>
      </c>
      <c r="M30" s="23" t="n">
        <f aca="false">INDEX(BSR_Table!$B$2:$B$14,J30)</f>
        <v>500</v>
      </c>
      <c r="N30" s="23" t="n">
        <f aca="false">INDEX(BSR_Table!$B$2:$B$14,J30+1)</f>
        <v>280</v>
      </c>
      <c r="O30" s="10" t="n">
        <f aca="false">EXP(LN(M30)+(LN(G30)-LN(K30))*(LN(N30)-LN(M30))/(LN(L30)-LN(K30)))</f>
        <v>320.144023312764</v>
      </c>
      <c r="P30" s="10" t="n">
        <f aca="false">O30*(1-$B$2)</f>
        <v>192.086413987658</v>
      </c>
      <c r="Q30" s="10" t="n">
        <f aca="false">O30*(1+$B$2)</f>
        <v>448.201632637869</v>
      </c>
      <c r="R30" s="7" t="n">
        <f aca="false">IF(AND(F30&gt;=$B$4,F30&lt;=$B$5),MAX(0.7*F30-$B$3*H30,0.35*F30),0.35*F30)</f>
        <v>5.9465</v>
      </c>
      <c r="S30" s="8" t="n">
        <f aca="false">O30*$B$6</f>
        <v>9604.32069938292</v>
      </c>
      <c r="T30" s="24" t="n">
        <f aca="false">S30*R30</f>
        <v>57112.0930388805</v>
      </c>
      <c r="U30" s="24" t="n">
        <f aca="false">P30*$B$6*R30</f>
        <v>34267.2558233283</v>
      </c>
      <c r="V30" s="24" t="n">
        <f aca="false">Q30*$B$6*R30</f>
        <v>79956.9302544327</v>
      </c>
      <c r="W30" s="6" t="s">
        <v>1160</v>
      </c>
    </row>
    <row r="31" customFormat="false" ht="15" hidden="false" customHeight="false" outlineLevel="0" collapsed="false">
      <c r="A31" s="20" t="str">
        <f aca="false">Charts_Snapshot!A23</f>
        <v>Stress Management|2</v>
      </c>
      <c r="B31" s="20" t="str">
        <f aca="false">Charts_Snapshot!B23</f>
        <v>Stress Management</v>
      </c>
      <c r="C31" s="20" t="n">
        <f aca="false">Charts_Snapshot!D23</f>
        <v>2</v>
      </c>
      <c r="D31" s="20" t="str">
        <f aca="false">Charts_Snapshot!E23</f>
        <v>Stop Letting Everything Affect You: How to break free from overthinking, emotional chaos, and self-sabotage.</v>
      </c>
      <c r="E31" s="20" t="str">
        <f aca="false">Charts_Snapshot!H23</f>
        <v>Indie imprint (inferred)</v>
      </c>
      <c r="F31" s="21" t="n">
        <f aca="false">Charts_Snapshot!J23</f>
        <v>9.99</v>
      </c>
      <c r="G31" s="22" t="n">
        <f aca="false">Charts_Snapshot!M23</f>
        <v>1695</v>
      </c>
      <c r="H31" s="20" t="n">
        <f aca="false">Charts_Snapshot!P23</f>
        <v>1.8</v>
      </c>
      <c r="I31" s="20" t="str">
        <f aca="false">Charts_Snapshot!N23</f>
        <v>N</v>
      </c>
      <c r="J31" s="6" t="n">
        <f aca="false">MIN(MATCH(G31,BSR_Table!$A$2:$A$14,1),12)</f>
        <v>5</v>
      </c>
      <c r="K31" s="8" t="n">
        <f aca="false">INDEX(BSR_Table!$A$2:$A$14,J31)</f>
        <v>1000</v>
      </c>
      <c r="L31" s="8" t="n">
        <f aca="false">INDEX(BSR_Table!$A$2:$A$14,J31+1)</f>
        <v>2000</v>
      </c>
      <c r="M31" s="23" t="n">
        <f aca="false">INDEX(BSR_Table!$B$2:$B$14,J31)</f>
        <v>120</v>
      </c>
      <c r="N31" s="23" t="n">
        <f aca="false">INDEX(BSR_Table!$B$2:$B$14,J31+1)</f>
        <v>65</v>
      </c>
      <c r="O31" s="10" t="n">
        <f aca="false">EXP(LN(M31)+(LN(G31)-LN(K31))*(LN(N31)-LN(M31))/(LN(L31)-LN(K31)))</f>
        <v>75.2446147693705</v>
      </c>
      <c r="P31" s="10" t="n">
        <f aca="false">O31*(1-$B$2)</f>
        <v>45.1467688616223</v>
      </c>
      <c r="Q31" s="10" t="n">
        <f aca="false">O31*(1+$B$2)</f>
        <v>105.342460677119</v>
      </c>
      <c r="R31" s="7" t="n">
        <f aca="false">IF(AND(F31&gt;=$B$4,F31&lt;=$B$5),MAX(0.7*F31-$B$3*H31,0.35*F31),0.35*F31)</f>
        <v>6.723</v>
      </c>
      <c r="S31" s="8" t="n">
        <f aca="false">O31*$B$6</f>
        <v>2257.33844308112</v>
      </c>
      <c r="T31" s="24" t="n">
        <f aca="false">S31*R31</f>
        <v>15176.0863528343</v>
      </c>
      <c r="U31" s="24" t="n">
        <f aca="false">P31*$B$6*R31</f>
        <v>9105.65181170061</v>
      </c>
      <c r="V31" s="24" t="n">
        <f aca="false">Q31*$B$6*R31</f>
        <v>21246.5208939681</v>
      </c>
      <c r="W31" s="6" t="s">
        <v>1160</v>
      </c>
    </row>
    <row r="32" customFormat="false" ht="15" hidden="false" customHeight="false" outlineLevel="0" collapsed="false">
      <c r="A32" s="20" t="str">
        <f aca="false">Charts_Snapshot!A24</f>
        <v>Stress Management|3</v>
      </c>
      <c r="B32" s="20" t="str">
        <f aca="false">Charts_Snapshot!B24</f>
        <v>Stress Management</v>
      </c>
      <c r="C32" s="20" t="n">
        <f aca="false">Charts_Snapshot!D24</f>
        <v>3</v>
      </c>
      <c r="D32" s="20" t="str">
        <f aca="false">Charts_Snapshot!E24</f>
        <v>The Happiness Trap: How to Stop Struggling and Start Living (Second Edition)</v>
      </c>
      <c r="E32" s="20" t="str">
        <f aca="false">Charts_Snapshot!H24</f>
        <v>Traditional/established press</v>
      </c>
      <c r="F32" s="21" t="n">
        <f aca="false">Charts_Snapshot!J24</f>
        <v>1.99</v>
      </c>
      <c r="G32" s="22" t="n">
        <f aca="false">Charts_Snapshot!M24</f>
        <v>2112</v>
      </c>
      <c r="H32" s="20" t="n">
        <f aca="false">Charts_Snapshot!P24</f>
        <v>3</v>
      </c>
      <c r="I32" s="20" t="str">
        <f aca="false">Charts_Snapshot!N24</f>
        <v>N</v>
      </c>
      <c r="J32" s="6" t="n">
        <f aca="false">MIN(MATCH(G32,BSR_Table!$A$2:$A$14,1),12)</f>
        <v>6</v>
      </c>
      <c r="K32" s="8" t="n">
        <f aca="false">INDEX(BSR_Table!$A$2:$A$14,J32)</f>
        <v>2000</v>
      </c>
      <c r="L32" s="8" t="n">
        <f aca="false">INDEX(BSR_Table!$A$2:$A$14,J32+1)</f>
        <v>5000</v>
      </c>
      <c r="M32" s="23" t="n">
        <f aca="false">INDEX(BSR_Table!$B$2:$B$14,J32)</f>
        <v>65</v>
      </c>
      <c r="N32" s="23" t="n">
        <f aca="false">INDEX(BSR_Table!$B$2:$B$14,J32+1)</f>
        <v>30</v>
      </c>
      <c r="O32" s="10" t="n">
        <f aca="false">EXP(LN(M32)+(LN(G32)-LN(K32))*(LN(N32)-LN(M32))/(LN(L32)-LN(K32)))</f>
        <v>62.0790594857325</v>
      </c>
      <c r="P32" s="10" t="n">
        <f aca="false">O32*(1-$B$2)</f>
        <v>37.2474356914395</v>
      </c>
      <c r="Q32" s="10" t="n">
        <f aca="false">O32*(1+$B$2)</f>
        <v>86.9106832800255</v>
      </c>
      <c r="R32" s="7" t="n">
        <f aca="false">IF(AND(F32&gt;=$B$4,F32&lt;=$B$5),MAX(0.7*F32-$B$3*H32,0.35*F32),0.35*F32)</f>
        <v>0.6965</v>
      </c>
      <c r="S32" s="8" t="n">
        <f aca="false">O32*$B$6</f>
        <v>1862.37178457198</v>
      </c>
      <c r="T32" s="24" t="n">
        <f aca="false">S32*R32</f>
        <v>1297.14194795438</v>
      </c>
      <c r="U32" s="24" t="n">
        <f aca="false">P32*$B$6*R32</f>
        <v>778.285168772629</v>
      </c>
      <c r="V32" s="24" t="n">
        <f aca="false">Q32*$B$6*R32</f>
        <v>1815.99872713613</v>
      </c>
      <c r="W32" s="6" t="s">
        <v>1160</v>
      </c>
    </row>
    <row r="33" customFormat="false" ht="15" hidden="false" customHeight="false" outlineLevel="0" collapsed="false">
      <c r="A33" s="20" t="str">
        <f aca="false">Charts_Snapshot!A25</f>
        <v>Stress Management|4</v>
      </c>
      <c r="B33" s="20" t="str">
        <f aca="false">Charts_Snapshot!B25</f>
        <v>Stress Management</v>
      </c>
      <c r="C33" s="20" t="n">
        <f aca="false">Charts_Snapshot!D25</f>
        <v>4</v>
      </c>
      <c r="D33" s="20" t="str">
        <f aca="false">Charts_Snapshot!E25</f>
        <v>Dopamine Detox : A Short Guide to Remove Distractions and Get Your Brain to Do Hard Things (Productivity Series Book 1)</v>
      </c>
      <c r="E33" s="20" t="str">
        <f aca="false">Charts_Snapshot!H25</f>
        <v>Indie (no publisher listed)</v>
      </c>
      <c r="F33" s="21" t="n">
        <f aca="false">Charts_Snapshot!J25</f>
        <v>2.99</v>
      </c>
      <c r="G33" s="22" t="n">
        <f aca="false">Charts_Snapshot!M25</f>
        <v>2573</v>
      </c>
      <c r="H33" s="20" t="n">
        <f aca="false">Charts_Snapshot!P25</f>
        <v>1.3</v>
      </c>
      <c r="I33" s="20" t="str">
        <f aca="false">Charts_Snapshot!N25</f>
        <v>Y</v>
      </c>
      <c r="J33" s="6" t="n">
        <f aca="false">MIN(MATCH(G33,BSR_Table!$A$2:$A$14,1),12)</f>
        <v>6</v>
      </c>
      <c r="K33" s="8" t="n">
        <f aca="false">INDEX(BSR_Table!$A$2:$A$14,J33)</f>
        <v>2000</v>
      </c>
      <c r="L33" s="8" t="n">
        <f aca="false">INDEX(BSR_Table!$A$2:$A$14,J33+1)</f>
        <v>5000</v>
      </c>
      <c r="M33" s="23" t="n">
        <f aca="false">INDEX(BSR_Table!$B$2:$B$14,J33)</f>
        <v>65</v>
      </c>
      <c r="N33" s="23" t="n">
        <f aca="false">INDEX(BSR_Table!$B$2:$B$14,J33+1)</f>
        <v>30</v>
      </c>
      <c r="O33" s="10" t="n">
        <f aca="false">EXP(LN(M33)+(LN(G33)-LN(K33))*(LN(N33)-LN(M33))/(LN(L33)-LN(K33)))</f>
        <v>52.5521559059113</v>
      </c>
      <c r="P33" s="10" t="n">
        <f aca="false">O33*(1-$B$2)</f>
        <v>31.5312935435468</v>
      </c>
      <c r="Q33" s="10" t="n">
        <f aca="false">O33*(1+$B$2)</f>
        <v>73.5730182682758</v>
      </c>
      <c r="R33" s="7" t="n">
        <f aca="false">IF(AND(F33&gt;=$B$4,F33&lt;=$B$5),MAX(0.7*F33-$B$3*H33,0.35*F33),0.35*F33)</f>
        <v>1.898</v>
      </c>
      <c r="S33" s="8" t="n">
        <f aca="false">O33*$B$6</f>
        <v>1576.56467717734</v>
      </c>
      <c r="T33" s="24" t="n">
        <f aca="false">S33*R33</f>
        <v>2992.31975728259</v>
      </c>
      <c r="U33" s="24" t="n">
        <f aca="false">P33*$B$6*R33</f>
        <v>1795.39185436955</v>
      </c>
      <c r="V33" s="24" t="n">
        <f aca="false">Q33*$B$6*R33</f>
        <v>4189.24766019562</v>
      </c>
      <c r="W33" s="6" t="s">
        <v>1160</v>
      </c>
    </row>
    <row r="34" customFormat="false" ht="15" hidden="false" customHeight="false" outlineLevel="0" collapsed="false">
      <c r="A34" s="20" t="str">
        <f aca="false">Charts_Snapshot!A26</f>
        <v>Stress Management|5</v>
      </c>
      <c r="B34" s="20" t="str">
        <f aca="false">Charts_Snapshot!B26</f>
        <v>Stress Management</v>
      </c>
      <c r="C34" s="20" t="n">
        <f aca="false">Charts_Snapshot!D26</f>
        <v>5</v>
      </c>
      <c r="D34" s="20" t="str">
        <f aca="false">Charts_Snapshot!E26</f>
        <v>Winning the War in Your Mind: Change Your Thinking, Change Your Life</v>
      </c>
      <c r="E34" s="20" t="str">
        <f aca="false">Charts_Snapshot!H26</f>
        <v>Traditional/established press</v>
      </c>
      <c r="F34" s="21" t="n">
        <f aca="false">Charts_Snapshot!J26</f>
        <v>3.99</v>
      </c>
      <c r="G34" s="22" t="n">
        <f aca="false">Charts_Snapshot!M26</f>
        <v>2729</v>
      </c>
      <c r="H34" s="20" t="n">
        <f aca="false">Charts_Snapshot!P26</f>
        <v>3.9</v>
      </c>
      <c r="I34" s="20" t="str">
        <f aca="false">Charts_Snapshot!N26</f>
        <v>Y</v>
      </c>
      <c r="J34" s="6" t="n">
        <f aca="false">MIN(MATCH(G34,BSR_Table!$A$2:$A$14,1),12)</f>
        <v>6</v>
      </c>
      <c r="K34" s="8" t="n">
        <f aca="false">INDEX(BSR_Table!$A$2:$A$14,J34)</f>
        <v>2000</v>
      </c>
      <c r="L34" s="8" t="n">
        <f aca="false">INDEX(BSR_Table!$A$2:$A$14,J34+1)</f>
        <v>5000</v>
      </c>
      <c r="M34" s="23" t="n">
        <f aca="false">INDEX(BSR_Table!$B$2:$B$14,J34)</f>
        <v>65</v>
      </c>
      <c r="N34" s="23" t="n">
        <f aca="false">INDEX(BSR_Table!$B$2:$B$14,J34+1)</f>
        <v>30</v>
      </c>
      <c r="O34" s="10" t="n">
        <f aca="false">EXP(LN(M34)+(LN(G34)-LN(K34))*(LN(N34)-LN(M34))/(LN(L34)-LN(K34)))</f>
        <v>50.0056621495938</v>
      </c>
      <c r="P34" s="10" t="n">
        <f aca="false">O34*(1-$B$2)</f>
        <v>30.0033972897563</v>
      </c>
      <c r="Q34" s="10" t="n">
        <f aca="false">O34*(1+$B$2)</f>
        <v>70.0079270094313</v>
      </c>
      <c r="R34" s="7" t="n">
        <f aca="false">IF(AND(F34&gt;=$B$4,F34&lt;=$B$5),MAX(0.7*F34-$B$3*H34,0.35*F34),0.35*F34)</f>
        <v>2.208</v>
      </c>
      <c r="S34" s="8" t="n">
        <f aca="false">O34*$B$6</f>
        <v>1500.16986448781</v>
      </c>
      <c r="T34" s="24" t="n">
        <f aca="false">S34*R34</f>
        <v>3312.37506078909</v>
      </c>
      <c r="U34" s="24" t="n">
        <f aca="false">P34*$B$6*R34</f>
        <v>1987.42503647345</v>
      </c>
      <c r="V34" s="24" t="n">
        <f aca="false">Q34*$B$6*R34</f>
        <v>4637.32508510473</v>
      </c>
      <c r="W34" s="6" t="s">
        <v>1160</v>
      </c>
    </row>
    <row r="35" customFormat="false" ht="15" hidden="false" customHeight="false" outlineLevel="0" collapsed="false">
      <c r="A35" s="20" t="str">
        <f aca="false">Charts_Snapshot!A27</f>
        <v>Stress Management|6</v>
      </c>
      <c r="B35" s="20" t="str">
        <f aca="false">Charts_Snapshot!B27</f>
        <v>Stress Management</v>
      </c>
      <c r="C35" s="20" t="n">
        <f aca="false">Charts_Snapshot!D27</f>
        <v>6</v>
      </c>
      <c r="D35" s="20" t="str">
        <f aca="false">Charts_Snapshot!E27</f>
        <v>Making Peace with What I Can’t Control: Find Relief from the Exhaustion of Overthinking, Trying to Fix Others, and Wanting to Figure It All Out</v>
      </c>
      <c r="E35" s="20" t="str">
        <f aca="false">Charts_Snapshot!H27</f>
        <v>Traditional/established press</v>
      </c>
      <c r="F35" s="21" t="n">
        <f aca="false">Charts_Snapshot!J27</f>
        <v>14.99</v>
      </c>
      <c r="G35" s="22" t="n">
        <f aca="false">Charts_Snapshot!M27</f>
        <v>3427</v>
      </c>
      <c r="H35" s="20" t="n">
        <f aca="false">Charts_Snapshot!P27</f>
        <v>5</v>
      </c>
      <c r="I35" s="20" t="str">
        <f aca="false">Charts_Snapshot!N27</f>
        <v>N</v>
      </c>
      <c r="J35" s="6" t="n">
        <f aca="false">MIN(MATCH(G35,BSR_Table!$A$2:$A$14,1),12)</f>
        <v>6</v>
      </c>
      <c r="K35" s="8" t="n">
        <f aca="false">INDEX(BSR_Table!$A$2:$A$14,J35)</f>
        <v>2000</v>
      </c>
      <c r="L35" s="8" t="n">
        <f aca="false">INDEX(BSR_Table!$A$2:$A$14,J35+1)</f>
        <v>5000</v>
      </c>
      <c r="M35" s="23" t="n">
        <f aca="false">INDEX(BSR_Table!$B$2:$B$14,J35)</f>
        <v>65</v>
      </c>
      <c r="N35" s="23" t="n">
        <f aca="false">INDEX(BSR_Table!$B$2:$B$14,J35+1)</f>
        <v>30</v>
      </c>
      <c r="O35" s="10" t="n">
        <f aca="false">EXP(LN(M35)+(LN(G35)-LN(K35))*(LN(N35)-LN(M35))/(LN(L35)-LN(K35)))</f>
        <v>41.262532431764</v>
      </c>
      <c r="P35" s="10" t="n">
        <f aca="false">O35*(1-$B$2)</f>
        <v>24.7575194590584</v>
      </c>
      <c r="Q35" s="10" t="n">
        <f aca="false">O35*(1+$B$2)</f>
        <v>57.7675454044696</v>
      </c>
      <c r="R35" s="7" t="n">
        <f aca="false">IF(AND(F35&gt;=$B$4,F35&lt;=$B$5),MAX(0.7*F35-$B$3*H35,0.35*F35),0.35*F35)</f>
        <v>5.2465</v>
      </c>
      <c r="S35" s="8" t="n">
        <f aca="false">O35*$B$6</f>
        <v>1237.87597295292</v>
      </c>
      <c r="T35" s="24" t="n">
        <f aca="false">S35*R35</f>
        <v>6494.5162920975</v>
      </c>
      <c r="U35" s="24" t="n">
        <f aca="false">P35*$B$6*R35</f>
        <v>3896.7097752585</v>
      </c>
      <c r="V35" s="24" t="n">
        <f aca="false">Q35*$B$6*R35</f>
        <v>9092.3228089365</v>
      </c>
      <c r="W35" s="6" t="s">
        <v>1160</v>
      </c>
    </row>
    <row r="36" customFormat="false" ht="15" hidden="false" customHeight="false" outlineLevel="0" collapsed="false">
      <c r="A36" s="20" t="str">
        <f aca="false">Charts_Snapshot!A28</f>
        <v>Stress Management|7</v>
      </c>
      <c r="B36" s="20" t="str">
        <f aca="false">Charts_Snapshot!B28</f>
        <v>Stress Management</v>
      </c>
      <c r="C36" s="20" t="n">
        <f aca="false">Charts_Snapshot!D28</f>
        <v>7</v>
      </c>
      <c r="D36" s="20" t="str">
        <f aca="false">Charts_Snapshot!E28</f>
        <v>How to Keep House While Drowning: A Gentle Approach to Cleaning and Organizing</v>
      </c>
      <c r="E36" s="20" t="str">
        <f aca="false">Charts_Snapshot!H28</f>
        <v>Traditional/established press</v>
      </c>
      <c r="F36" s="21" t="n">
        <f aca="false">Charts_Snapshot!J28</f>
        <v>12.99</v>
      </c>
      <c r="G36" s="22" t="n">
        <f aca="false">Charts_Snapshot!M28</f>
        <v>5579</v>
      </c>
      <c r="H36" s="20" t="n">
        <f aca="false">Charts_Snapshot!P28</f>
        <v>19.1</v>
      </c>
      <c r="I36" s="20" t="str">
        <f aca="false">Charts_Snapshot!N28</f>
        <v>Y</v>
      </c>
      <c r="J36" s="6" t="n">
        <f aca="false">MIN(MATCH(G36,BSR_Table!$A$2:$A$14,1),12)</f>
        <v>7</v>
      </c>
      <c r="K36" s="8" t="n">
        <f aca="false">INDEX(BSR_Table!$A$2:$A$14,J36)</f>
        <v>5000</v>
      </c>
      <c r="L36" s="8" t="n">
        <f aca="false">INDEX(BSR_Table!$A$2:$A$14,J36+1)</f>
        <v>10000</v>
      </c>
      <c r="M36" s="23" t="n">
        <f aca="false">INDEX(BSR_Table!$B$2:$B$14,J36)</f>
        <v>30</v>
      </c>
      <c r="N36" s="23" t="n">
        <f aca="false">INDEX(BSR_Table!$B$2:$B$14,J36+1)</f>
        <v>20</v>
      </c>
      <c r="O36" s="10" t="n">
        <f aca="false">EXP(LN(M36)+(LN(G36)-LN(K36))*(LN(N36)-LN(M36))/(LN(L36)-LN(K36)))</f>
        <v>28.1374684009164</v>
      </c>
      <c r="P36" s="10" t="n">
        <f aca="false">O36*(1-$B$2)</f>
        <v>16.8824810405498</v>
      </c>
      <c r="Q36" s="10" t="n">
        <f aca="false">O36*(1+$B$2)</f>
        <v>39.3924557612829</v>
      </c>
      <c r="R36" s="7" t="n">
        <f aca="false">IF(AND(F36&gt;=$B$4,F36&lt;=$B$5),MAX(0.7*F36-$B$3*H36,0.35*F36),0.35*F36)</f>
        <v>6.228</v>
      </c>
      <c r="S36" s="8" t="n">
        <f aca="false">O36*$B$6</f>
        <v>844.124052027491</v>
      </c>
      <c r="T36" s="24" t="n">
        <f aca="false">S36*R36</f>
        <v>5257.20459602722</v>
      </c>
      <c r="U36" s="24" t="n">
        <f aca="false">P36*$B$6*R36</f>
        <v>3154.32275761633</v>
      </c>
      <c r="V36" s="24" t="n">
        <f aca="false">Q36*$B$6*R36</f>
        <v>7360.0864344381</v>
      </c>
      <c r="W36" s="6" t="s">
        <v>1160</v>
      </c>
    </row>
    <row r="37" customFormat="false" ht="15" hidden="false" customHeight="false" outlineLevel="0" collapsed="false">
      <c r="A37" s="20" t="str">
        <f aca="false">Charts_Snapshot!A29</f>
        <v>Stress Management|8</v>
      </c>
      <c r="B37" s="20" t="str">
        <f aca="false">Charts_Snapshot!B29</f>
        <v>Stress Management</v>
      </c>
      <c r="C37" s="20" t="n">
        <f aca="false">Charts_Snapshot!D29</f>
        <v>8</v>
      </c>
      <c r="D37" s="20" t="str">
        <f aca="false">Charts_Snapshot!E29</f>
        <v>A Walk in the Wood: Meditations on Mindfulness with a Bear Named Pooh</v>
      </c>
      <c r="E37" s="20" t="str">
        <f aca="false">Charts_Snapshot!H29</f>
        <v>Traditional/established press</v>
      </c>
      <c r="F37" s="21" t="n">
        <f aca="false">Charts_Snapshot!J29</f>
        <v>2.99</v>
      </c>
      <c r="G37" s="22" t="n">
        <f aca="false">Charts_Snapshot!M29</f>
        <v>6864</v>
      </c>
      <c r="H37" s="20" t="n">
        <f aca="false">Charts_Snapshot!P29</f>
        <v>31.5</v>
      </c>
      <c r="I37" s="20" t="str">
        <f aca="false">Charts_Snapshot!N29</f>
        <v>N</v>
      </c>
      <c r="J37" s="6" t="n">
        <f aca="false">MIN(MATCH(G37,BSR_Table!$A$2:$A$14,1),12)</f>
        <v>7</v>
      </c>
      <c r="K37" s="8" t="n">
        <f aca="false">INDEX(BSR_Table!$A$2:$A$14,J37)</f>
        <v>5000</v>
      </c>
      <c r="L37" s="8" t="n">
        <f aca="false">INDEX(BSR_Table!$A$2:$A$14,J37+1)</f>
        <v>10000</v>
      </c>
      <c r="M37" s="23" t="n">
        <f aca="false">INDEX(BSR_Table!$B$2:$B$14,J37)</f>
        <v>30</v>
      </c>
      <c r="N37" s="23" t="n">
        <f aca="false">INDEX(BSR_Table!$B$2:$B$14,J37+1)</f>
        <v>20</v>
      </c>
      <c r="O37" s="10" t="n">
        <f aca="false">EXP(LN(M37)+(LN(G37)-LN(K37))*(LN(N37)-LN(M37))/(LN(L37)-LN(K37)))</f>
        <v>24.9244831717237</v>
      </c>
      <c r="P37" s="10" t="n">
        <f aca="false">O37*(1-$B$2)</f>
        <v>14.9546899030342</v>
      </c>
      <c r="Q37" s="10" t="n">
        <f aca="false">O37*(1+$B$2)</f>
        <v>34.8942764404132</v>
      </c>
      <c r="R37" s="7" t="n">
        <f aca="false">IF(AND(F37&gt;=$B$4,F37&lt;=$B$5),MAX(0.7*F37-$B$3*H37,0.35*F37),0.35*F37)</f>
        <v>1.0465</v>
      </c>
      <c r="S37" s="8" t="n">
        <f aca="false">O37*$B$6</f>
        <v>747.734495151711</v>
      </c>
      <c r="T37" s="24" t="n">
        <f aca="false">S37*R37</f>
        <v>782.504149176266</v>
      </c>
      <c r="U37" s="24" t="n">
        <f aca="false">P37*$B$6*R37</f>
        <v>469.502489505759</v>
      </c>
      <c r="V37" s="24" t="n">
        <f aca="false">Q37*$B$6*R37</f>
        <v>1095.50580884677</v>
      </c>
      <c r="W37" s="6" t="s">
        <v>1160</v>
      </c>
    </row>
    <row r="38" customFormat="false" ht="15" hidden="false" customHeight="false" outlineLevel="0" collapsed="false">
      <c r="A38" s="20" t="str">
        <f aca="false">Charts_Snapshot!A30</f>
        <v>Stress Management|9</v>
      </c>
      <c r="B38" s="20" t="str">
        <f aca="false">Charts_Snapshot!B30</f>
        <v>Stress Management</v>
      </c>
      <c r="C38" s="20" t="n">
        <f aca="false">Charts_Snapshot!D30</f>
        <v>9</v>
      </c>
      <c r="D38" s="20" t="str">
        <f aca="false">Charts_Snapshot!E30</f>
        <v>Unfu*k Yourself: Get Out of Your Head and into Your Life – The New York Times Bestselling Tough-Love Self-Help Guide to Stop Self-Sabotage and Boost Resilience (Unfu*k Yourself series Book 1)</v>
      </c>
      <c r="E38" s="20" t="str">
        <f aca="false">Charts_Snapshot!H30</f>
        <v>Traditional/established press</v>
      </c>
      <c r="F38" s="21" t="n">
        <f aca="false">Charts_Snapshot!J30</f>
        <v>13.99</v>
      </c>
      <c r="G38" s="22" t="n">
        <f aca="false">Charts_Snapshot!M30</f>
        <v>7307</v>
      </c>
      <c r="H38" s="20" t="n">
        <f aca="false">Charts_Snapshot!P30</f>
        <v>2.1</v>
      </c>
      <c r="I38" s="20" t="str">
        <f aca="false">Charts_Snapshot!N30</f>
        <v>Y</v>
      </c>
      <c r="J38" s="6" t="n">
        <f aca="false">MIN(MATCH(G38,BSR_Table!$A$2:$A$14,1),12)</f>
        <v>7</v>
      </c>
      <c r="K38" s="8" t="n">
        <f aca="false">INDEX(BSR_Table!$A$2:$A$14,J38)</f>
        <v>5000</v>
      </c>
      <c r="L38" s="8" t="n">
        <f aca="false">INDEX(BSR_Table!$A$2:$A$14,J38+1)</f>
        <v>10000</v>
      </c>
      <c r="M38" s="23" t="n">
        <f aca="false">INDEX(BSR_Table!$B$2:$B$14,J38)</f>
        <v>30</v>
      </c>
      <c r="N38" s="23" t="n">
        <f aca="false">INDEX(BSR_Table!$B$2:$B$14,J38+1)</f>
        <v>20</v>
      </c>
      <c r="O38" s="10" t="n">
        <f aca="false">EXP(LN(M38)+(LN(G38)-LN(K38))*(LN(N38)-LN(M38))/(LN(L38)-LN(K38)))</f>
        <v>24.029100187757</v>
      </c>
      <c r="P38" s="10" t="n">
        <f aca="false">O38*(1-$B$2)</f>
        <v>14.4174601126542</v>
      </c>
      <c r="Q38" s="10" t="n">
        <f aca="false">O38*(1+$B$2)</f>
        <v>33.6407402628598</v>
      </c>
      <c r="R38" s="7" t="n">
        <f aca="false">IF(AND(F38&gt;=$B$4,F38&lt;=$B$5),MAX(0.7*F38-$B$3*H38,0.35*F38),0.35*F38)</f>
        <v>4.8965</v>
      </c>
      <c r="S38" s="8" t="n">
        <f aca="false">O38*$B$6</f>
        <v>720.87300563271</v>
      </c>
      <c r="T38" s="24" t="n">
        <f aca="false">S38*R38</f>
        <v>3529.75467208057</v>
      </c>
      <c r="U38" s="24" t="n">
        <f aca="false">P38*$B$6*R38</f>
        <v>2117.85280324834</v>
      </c>
      <c r="V38" s="24" t="n">
        <f aca="false">Q38*$B$6*R38</f>
        <v>4941.65654091279</v>
      </c>
      <c r="W38" s="6" t="s">
        <v>1160</v>
      </c>
    </row>
    <row r="39" customFormat="false" ht="15" hidden="false" customHeight="false" outlineLevel="0" collapsed="false">
      <c r="A39" s="20" t="str">
        <f aca="false">Charts_Snapshot!A31</f>
        <v>Stress Management|10</v>
      </c>
      <c r="B39" s="20" t="str">
        <f aca="false">Charts_Snapshot!B31</f>
        <v>Stress Management</v>
      </c>
      <c r="C39" s="20" t="n">
        <f aca="false">Charts_Snapshot!D31</f>
        <v>10</v>
      </c>
      <c r="D39" s="20" t="str">
        <f aca="false">Charts_Snapshot!E31</f>
        <v>9 Hidden Switches: Where Suffering Ends and Peace Begins: A Timeless, Body-First Way to Ease Stress, Pain, and Inner Turmoil—and Make Room for Joy, ... Love (The Intelligence of Your Body Book 2)</v>
      </c>
      <c r="E39" s="20" t="str">
        <f aca="false">Charts_Snapshot!H31</f>
        <v>Indie imprint (inferred)</v>
      </c>
      <c r="F39" s="21" t="n">
        <f aca="false">Charts_Snapshot!J31</f>
        <v>0.99</v>
      </c>
      <c r="G39" s="22" t="n">
        <f aca="false">Charts_Snapshot!M31</f>
        <v>8092</v>
      </c>
      <c r="H39" s="20" t="n">
        <f aca="false">Charts_Snapshot!P31</f>
        <v>1</v>
      </c>
      <c r="I39" s="20" t="str">
        <f aca="false">Charts_Snapshot!N31</f>
        <v>Y</v>
      </c>
      <c r="J39" s="6" t="n">
        <f aca="false">MIN(MATCH(G39,BSR_Table!$A$2:$A$14,1),12)</f>
        <v>7</v>
      </c>
      <c r="K39" s="8" t="n">
        <f aca="false">INDEX(BSR_Table!$A$2:$A$14,J39)</f>
        <v>5000</v>
      </c>
      <c r="L39" s="8" t="n">
        <f aca="false">INDEX(BSR_Table!$A$2:$A$14,J39+1)</f>
        <v>10000</v>
      </c>
      <c r="M39" s="23" t="n">
        <f aca="false">INDEX(BSR_Table!$B$2:$B$14,J39)</f>
        <v>30</v>
      </c>
      <c r="N39" s="23" t="n">
        <f aca="false">INDEX(BSR_Table!$B$2:$B$14,J39+1)</f>
        <v>20</v>
      </c>
      <c r="O39" s="10" t="n">
        <f aca="false">EXP(LN(M39)+(LN(G39)-LN(K39))*(LN(N39)-LN(M39))/(LN(L39)-LN(K39)))</f>
        <v>22.6367388950172</v>
      </c>
      <c r="P39" s="10" t="n">
        <f aca="false">O39*(1-$B$2)</f>
        <v>13.5820433370103</v>
      </c>
      <c r="Q39" s="10" t="n">
        <f aca="false">O39*(1+$B$2)</f>
        <v>31.6914344530241</v>
      </c>
      <c r="R39" s="7" t="n">
        <f aca="false">IF(AND(F39&gt;=$B$4,F39&lt;=$B$5),MAX(0.7*F39-$B$3*H39,0.35*F39),0.35*F39)</f>
        <v>0.3465</v>
      </c>
      <c r="S39" s="8" t="n">
        <f aca="false">O39*$B$6</f>
        <v>679.102166850517</v>
      </c>
      <c r="T39" s="24" t="n">
        <f aca="false">S39*R39</f>
        <v>235.308900813704</v>
      </c>
      <c r="U39" s="24" t="n">
        <f aca="false">P39*$B$6*R39</f>
        <v>141.185340488222</v>
      </c>
      <c r="V39" s="24" t="n">
        <f aca="false">Q39*$B$6*R39</f>
        <v>329.432461139186</v>
      </c>
      <c r="W39" s="6" t="s">
        <v>1160</v>
      </c>
    </row>
    <row r="40" customFormat="false" ht="15" hidden="false" customHeight="false" outlineLevel="0" collapsed="false">
      <c r="A40" s="20" t="str">
        <f aca="false">Charts_Snapshot!A32</f>
        <v>Stress Management|11</v>
      </c>
      <c r="B40" s="20" t="str">
        <f aca="false">Charts_Snapshot!B32</f>
        <v>Stress Management</v>
      </c>
      <c r="C40" s="20" t="n">
        <f aca="false">Charts_Snapshot!D32</f>
        <v>11</v>
      </c>
      <c r="D40" s="20" t="str">
        <f aca="false">Charts_Snapshot!E32</f>
        <v>The Anxious Generation: How the Great Rewiring of Childhood Is Causing an Epidemic of Mental Illness</v>
      </c>
      <c r="E40" s="20" t="str">
        <f aca="false">Charts_Snapshot!H32</f>
        <v>Traditional/established press</v>
      </c>
      <c r="F40" s="21" t="n">
        <f aca="false">Charts_Snapshot!J32</f>
        <v>13.99</v>
      </c>
      <c r="G40" s="22" t="n">
        <f aca="false">Charts_Snapshot!M32</f>
        <v>8164</v>
      </c>
      <c r="H40" s="20" t="n">
        <f aca="false">Charts_Snapshot!P32</f>
        <v>19.3</v>
      </c>
      <c r="I40" s="20" t="str">
        <f aca="false">Charts_Snapshot!N32</f>
        <v>N</v>
      </c>
      <c r="J40" s="6" t="n">
        <f aca="false">MIN(MATCH(G40,BSR_Table!$A$2:$A$14,1),12)</f>
        <v>7</v>
      </c>
      <c r="K40" s="8" t="n">
        <f aca="false">INDEX(BSR_Table!$A$2:$A$14,J40)</f>
        <v>5000</v>
      </c>
      <c r="L40" s="8" t="n">
        <f aca="false">INDEX(BSR_Table!$A$2:$A$14,J40+1)</f>
        <v>10000</v>
      </c>
      <c r="M40" s="23" t="n">
        <f aca="false">INDEX(BSR_Table!$B$2:$B$14,J40)</f>
        <v>30</v>
      </c>
      <c r="N40" s="23" t="n">
        <f aca="false">INDEX(BSR_Table!$B$2:$B$14,J40+1)</f>
        <v>20</v>
      </c>
      <c r="O40" s="10" t="n">
        <f aca="false">EXP(LN(M40)+(LN(G40)-LN(K40))*(LN(N40)-LN(M40))/(LN(L40)-LN(K40)))</f>
        <v>22.5197434903095</v>
      </c>
      <c r="P40" s="10" t="n">
        <f aca="false">O40*(1-$B$2)</f>
        <v>13.5118460941857</v>
      </c>
      <c r="Q40" s="10" t="n">
        <f aca="false">O40*(1+$B$2)</f>
        <v>31.5276408864334</v>
      </c>
      <c r="R40" s="7" t="n">
        <f aca="false">IF(AND(F40&gt;=$B$4,F40&lt;=$B$5),MAX(0.7*F40-$B$3*H40,0.35*F40),0.35*F40)</f>
        <v>4.8965</v>
      </c>
      <c r="S40" s="8" t="n">
        <f aca="false">O40*$B$6</f>
        <v>675.592304709286</v>
      </c>
      <c r="T40" s="24" t="n">
        <f aca="false">S40*R40</f>
        <v>3308.03772000902</v>
      </c>
      <c r="U40" s="24" t="n">
        <f aca="false">P40*$B$6*R40</f>
        <v>1984.82263200541</v>
      </c>
      <c r="V40" s="24" t="n">
        <f aca="false">Q40*$B$6*R40</f>
        <v>4631.25280801263</v>
      </c>
      <c r="W40" s="6" t="s">
        <v>1160</v>
      </c>
    </row>
    <row r="41" customFormat="false" ht="15" hidden="false" customHeight="false" outlineLevel="0" collapsed="false">
      <c r="A41" s="20" t="str">
        <f aca="false">Charts_Snapshot!A33</f>
        <v>Stress Management|12</v>
      </c>
      <c r="B41" s="20" t="str">
        <f aca="false">Charts_Snapshot!B33</f>
        <v>Stress Management</v>
      </c>
      <c r="C41" s="20" t="n">
        <f aca="false">Charts_Snapshot!D33</f>
        <v>12</v>
      </c>
      <c r="D41" s="20" t="str">
        <f aca="false">Charts_Snapshot!E33</f>
        <v>Everything Is F*cked: Two Transformative Guides to Finding Happiness Amidst Life's Chaos (The Subtle Art of Not Giving a F*ck (2 Book Series))</v>
      </c>
      <c r="E41" s="20" t="str">
        <f aca="false">Charts_Snapshot!H33</f>
        <v>Traditional/established press</v>
      </c>
      <c r="F41" s="21" t="n">
        <f aca="false">Charts_Snapshot!J33</f>
        <v>13.49</v>
      </c>
      <c r="G41" s="22" t="n">
        <f aca="false">Charts_Snapshot!M33</f>
        <v>9373</v>
      </c>
      <c r="H41" s="20" t="n">
        <f aca="false">Charts_Snapshot!P33</f>
        <v>2.1</v>
      </c>
      <c r="I41" s="20" t="str">
        <f aca="false">Charts_Snapshot!N33</f>
        <v>Y</v>
      </c>
      <c r="J41" s="6" t="n">
        <f aca="false">MIN(MATCH(G41,BSR_Table!$A$2:$A$14,1),12)</f>
        <v>7</v>
      </c>
      <c r="K41" s="8" t="n">
        <f aca="false">INDEX(BSR_Table!$A$2:$A$14,J41)</f>
        <v>5000</v>
      </c>
      <c r="L41" s="8" t="n">
        <f aca="false">INDEX(BSR_Table!$A$2:$A$14,J41+1)</f>
        <v>10000</v>
      </c>
      <c r="M41" s="23" t="n">
        <f aca="false">INDEX(BSR_Table!$B$2:$B$14,J41)</f>
        <v>30</v>
      </c>
      <c r="N41" s="23" t="n">
        <f aca="false">INDEX(BSR_Table!$B$2:$B$14,J41+1)</f>
        <v>20</v>
      </c>
      <c r="O41" s="10" t="n">
        <f aca="false">EXP(LN(M41)+(LN(G41)-LN(K41))*(LN(N41)-LN(M41))/(LN(L41)-LN(K41)))</f>
        <v>20.7720782607885</v>
      </c>
      <c r="P41" s="10" t="n">
        <f aca="false">O41*(1-$B$2)</f>
        <v>12.4632469564731</v>
      </c>
      <c r="Q41" s="10" t="n">
        <f aca="false">O41*(1+$B$2)</f>
        <v>29.0809095651038</v>
      </c>
      <c r="R41" s="7" t="n">
        <f aca="false">IF(AND(F41&gt;=$B$4,F41&lt;=$B$5),MAX(0.7*F41-$B$3*H41,0.35*F41),0.35*F41)</f>
        <v>4.7215</v>
      </c>
      <c r="S41" s="8" t="n">
        <f aca="false">O41*$B$6</f>
        <v>623.162347823654</v>
      </c>
      <c r="T41" s="24" t="n">
        <f aca="false">S41*R41</f>
        <v>2942.26102524938</v>
      </c>
      <c r="U41" s="24" t="n">
        <f aca="false">P41*$B$6*R41</f>
        <v>1765.35661514963</v>
      </c>
      <c r="V41" s="24" t="n">
        <f aca="false">Q41*$B$6*R41</f>
        <v>4119.16543534913</v>
      </c>
      <c r="W41" s="6" t="s">
        <v>1160</v>
      </c>
    </row>
    <row r="42" customFormat="false" ht="15" hidden="false" customHeight="false" outlineLevel="0" collapsed="false">
      <c r="A42" s="20" t="str">
        <f aca="false">Charts_Snapshot!A34</f>
        <v>Stress Management|13</v>
      </c>
      <c r="B42" s="20" t="str">
        <f aca="false">Charts_Snapshot!B34</f>
        <v>Stress Management</v>
      </c>
      <c r="C42" s="20" t="n">
        <f aca="false">Charts_Snapshot!D34</f>
        <v>13</v>
      </c>
      <c r="D42" s="20" t="str">
        <f aca="false">Charts_Snapshot!E34</f>
        <v>One Brave Breath: The Owner's Manual for Being Human</v>
      </c>
      <c r="E42" s="20" t="str">
        <f aca="false">Charts_Snapshot!H34</f>
        <v>Indie (no publisher listed)</v>
      </c>
      <c r="F42" s="21" t="n">
        <f aca="false">Charts_Snapshot!J34</f>
        <v>0.99</v>
      </c>
      <c r="G42" s="22" t="n">
        <f aca="false">Charts_Snapshot!M34</f>
        <v>10961</v>
      </c>
      <c r="H42" s="20" t="n">
        <f aca="false">Charts_Snapshot!P34</f>
        <v>5.7</v>
      </c>
      <c r="I42" s="20" t="str">
        <f aca="false">Charts_Snapshot!N34</f>
        <v>N</v>
      </c>
      <c r="J42" s="6" t="n">
        <f aca="false">MIN(MATCH(G42,BSR_Table!$A$2:$A$14,1),12)</f>
        <v>8</v>
      </c>
      <c r="K42" s="8" t="n">
        <f aca="false">INDEX(BSR_Table!$A$2:$A$14,J42)</f>
        <v>10000</v>
      </c>
      <c r="L42" s="8" t="n">
        <f aca="false">INDEX(BSR_Table!$A$2:$A$14,J42+1)</f>
        <v>20000</v>
      </c>
      <c r="M42" s="23" t="n">
        <f aca="false">INDEX(BSR_Table!$B$2:$B$14,J42)</f>
        <v>20</v>
      </c>
      <c r="N42" s="23" t="n">
        <f aca="false">INDEX(BSR_Table!$B$2:$B$14,J42+1)</f>
        <v>10</v>
      </c>
      <c r="O42" s="10" t="n">
        <f aca="false">EXP(LN(M42)+(LN(G42)-LN(K42))*(LN(N42)-LN(M42))/(LN(L42)-LN(K42)))</f>
        <v>18.2465103548946</v>
      </c>
      <c r="P42" s="10" t="n">
        <f aca="false">O42*(1-$B$2)</f>
        <v>10.9479062129368</v>
      </c>
      <c r="Q42" s="10" t="n">
        <f aca="false">O42*(1+$B$2)</f>
        <v>25.5451144968525</v>
      </c>
      <c r="R42" s="7" t="n">
        <f aca="false">IF(AND(F42&gt;=$B$4,F42&lt;=$B$5),MAX(0.7*F42-$B$3*H42,0.35*F42),0.35*F42)</f>
        <v>0.3465</v>
      </c>
      <c r="S42" s="8" t="n">
        <f aca="false">O42*$B$6</f>
        <v>547.395310646839</v>
      </c>
      <c r="T42" s="24" t="n">
        <f aca="false">S42*R42</f>
        <v>189.67247513913</v>
      </c>
      <c r="U42" s="24" t="n">
        <f aca="false">P42*$B$6*R42</f>
        <v>113.803485083478</v>
      </c>
      <c r="V42" s="24" t="n">
        <f aca="false">Q42*$B$6*R42</f>
        <v>265.541465194782</v>
      </c>
      <c r="W42" s="6" t="s">
        <v>1160</v>
      </c>
    </row>
    <row r="43" customFormat="false" ht="15" hidden="false" customHeight="false" outlineLevel="0" collapsed="false">
      <c r="A43" s="20" t="str">
        <f aca="false">Charts_Snapshot!A35</f>
        <v>Stress Management|14</v>
      </c>
      <c r="B43" s="20" t="str">
        <f aca="false">Charts_Snapshot!B35</f>
        <v>Stress Management</v>
      </c>
      <c r="C43" s="20" t="n">
        <f aca="false">Charts_Snapshot!D35</f>
        <v>14</v>
      </c>
      <c r="D43" s="20" t="str">
        <f aca="false">Charts_Snapshot!E35</f>
        <v>Heal Your Hurting Mind: Biblical Hope for Anxiety, Depression, Burnout, and the Emotions No One Talks About</v>
      </c>
      <c r="E43" s="20" t="str">
        <f aca="false">Charts_Snapshot!H35</f>
        <v>Traditional/established press</v>
      </c>
      <c r="F43" s="21" t="n">
        <f aca="false">Charts_Snapshot!J35</f>
        <v>14.99</v>
      </c>
      <c r="G43" s="22" t="n">
        <f aca="false">Charts_Snapshot!M35</f>
        <v>11561</v>
      </c>
      <c r="H43" s="20" t="n">
        <f aca="false">Charts_Snapshot!P35</f>
        <v>2.4</v>
      </c>
      <c r="I43" s="20" t="str">
        <f aca="false">Charts_Snapshot!N35</f>
        <v>N</v>
      </c>
      <c r="J43" s="6" t="n">
        <f aca="false">MIN(MATCH(G43,BSR_Table!$A$2:$A$14,1),12)</f>
        <v>8</v>
      </c>
      <c r="K43" s="8" t="n">
        <f aca="false">INDEX(BSR_Table!$A$2:$A$14,J43)</f>
        <v>10000</v>
      </c>
      <c r="L43" s="8" t="n">
        <f aca="false">INDEX(BSR_Table!$A$2:$A$14,J43+1)</f>
        <v>20000</v>
      </c>
      <c r="M43" s="23" t="n">
        <f aca="false">INDEX(BSR_Table!$B$2:$B$14,J43)</f>
        <v>20</v>
      </c>
      <c r="N43" s="23" t="n">
        <f aca="false">INDEX(BSR_Table!$B$2:$B$14,J43+1)</f>
        <v>10</v>
      </c>
      <c r="O43" s="10" t="n">
        <f aca="false">EXP(LN(M43)+(LN(G43)-LN(K43))*(LN(N43)-LN(M43))/(LN(L43)-LN(K43)))</f>
        <v>17.2995415621486</v>
      </c>
      <c r="P43" s="10" t="n">
        <f aca="false">O43*(1-$B$2)</f>
        <v>10.3797249372892</v>
      </c>
      <c r="Q43" s="10" t="n">
        <f aca="false">O43*(1+$B$2)</f>
        <v>24.2193581870081</v>
      </c>
      <c r="R43" s="7" t="n">
        <f aca="false">IF(AND(F43&gt;=$B$4,F43&lt;=$B$5),MAX(0.7*F43-$B$3*H43,0.35*F43),0.35*F43)</f>
        <v>5.2465</v>
      </c>
      <c r="S43" s="8" t="n">
        <f aca="false">O43*$B$6</f>
        <v>518.986246864459</v>
      </c>
      <c r="T43" s="24" t="n">
        <f aca="false">S43*R43</f>
        <v>2722.86134417438</v>
      </c>
      <c r="U43" s="24" t="n">
        <f aca="false">P43*$B$6*R43</f>
        <v>1633.71680650463</v>
      </c>
      <c r="V43" s="24" t="n">
        <f aca="false">Q43*$B$6*R43</f>
        <v>3812.00588184413</v>
      </c>
      <c r="W43" s="6" t="s">
        <v>1160</v>
      </c>
    </row>
    <row r="44" customFormat="false" ht="15" hidden="false" customHeight="false" outlineLevel="0" collapsed="false">
      <c r="A44" s="20" t="str">
        <f aca="false">Charts_Snapshot!A36</f>
        <v>Stress Management|15</v>
      </c>
      <c r="B44" s="20" t="str">
        <f aca="false">Charts_Snapshot!B36</f>
        <v>Stress Management</v>
      </c>
      <c r="C44" s="20" t="n">
        <f aca="false">Charts_Snapshot!D36</f>
        <v>15</v>
      </c>
      <c r="D44" s="20" t="str">
        <f aca="false">Charts_Snapshot!E36</f>
        <v>Unoffendable: How Just One Change Can Make All of Life Better (updated with two new chapters)</v>
      </c>
      <c r="E44" s="20" t="str">
        <f aca="false">Charts_Snapshot!H36</f>
        <v>Traditional/established press</v>
      </c>
      <c r="F44" s="21" t="n">
        <f aca="false">Charts_Snapshot!J36</f>
        <v>15.99</v>
      </c>
      <c r="G44" s="22" t="n">
        <f aca="false">Charts_Snapshot!M36</f>
        <v>13697</v>
      </c>
      <c r="H44" s="20" t="n">
        <f aca="false">Charts_Snapshot!P36</f>
        <v>0.84</v>
      </c>
      <c r="I44" s="20" t="str">
        <f aca="false">Charts_Snapshot!N36</f>
        <v>Y</v>
      </c>
      <c r="J44" s="6" t="n">
        <f aca="false">MIN(MATCH(G44,BSR_Table!$A$2:$A$14,1),12)</f>
        <v>8</v>
      </c>
      <c r="K44" s="8" t="n">
        <f aca="false">INDEX(BSR_Table!$A$2:$A$14,J44)</f>
        <v>10000</v>
      </c>
      <c r="L44" s="8" t="n">
        <f aca="false">INDEX(BSR_Table!$A$2:$A$14,J44+1)</f>
        <v>20000</v>
      </c>
      <c r="M44" s="23" t="n">
        <f aca="false">INDEX(BSR_Table!$B$2:$B$14,J44)</f>
        <v>20</v>
      </c>
      <c r="N44" s="23" t="n">
        <f aca="false">INDEX(BSR_Table!$B$2:$B$14,J44+1)</f>
        <v>10</v>
      </c>
      <c r="O44" s="10" t="n">
        <f aca="false">EXP(LN(M44)+(LN(G44)-LN(K44))*(LN(N44)-LN(M44))/(LN(L44)-LN(K44)))</f>
        <v>14.6017376067752</v>
      </c>
      <c r="P44" s="10" t="n">
        <f aca="false">O44*(1-$B$2)</f>
        <v>8.76104256406512</v>
      </c>
      <c r="Q44" s="10" t="n">
        <f aca="false">O44*(1+$B$2)</f>
        <v>20.4424326494853</v>
      </c>
      <c r="R44" s="7" t="n">
        <f aca="false">IF(AND(F44&gt;=$B$4,F44&lt;=$B$5),MAX(0.7*F44-$B$3*H44,0.35*F44),0.35*F44)</f>
        <v>5.5965</v>
      </c>
      <c r="S44" s="8" t="n">
        <f aca="false">O44*$B$6</f>
        <v>438.052128203256</v>
      </c>
      <c r="T44" s="24" t="n">
        <f aca="false">S44*R44</f>
        <v>2451.55873548952</v>
      </c>
      <c r="U44" s="24" t="n">
        <f aca="false">P44*$B$6*R44</f>
        <v>1470.93524129371</v>
      </c>
      <c r="V44" s="24" t="n">
        <f aca="false">Q44*$B$6*R44</f>
        <v>3432.18222968533</v>
      </c>
      <c r="W44" s="6" t="s">
        <v>1160</v>
      </c>
    </row>
    <row r="45" customFormat="false" ht="15" hidden="false" customHeight="false" outlineLevel="0" collapsed="false">
      <c r="A45" s="20" t="str">
        <f aca="false">Charts_Snapshot!A37</f>
        <v>Stress Management|16</v>
      </c>
      <c r="B45" s="20" t="str">
        <f aca="false">Charts_Snapshot!B37</f>
        <v>Stress Management</v>
      </c>
      <c r="C45" s="20" t="n">
        <f aca="false">Charts_Snapshot!D37</f>
        <v>16</v>
      </c>
      <c r="D45" s="20" t="str">
        <f aca="false">Charts_Snapshot!E37</f>
        <v>Master Your Emotions : A Practical Guide to Overcome Negativity and Better Manage Your Feelings (Mastery Series Book 1)</v>
      </c>
      <c r="E45" s="20" t="str">
        <f aca="false">Charts_Snapshot!H37</f>
        <v>Indie (no publisher listed)</v>
      </c>
      <c r="F45" s="21" t="n">
        <f aca="false">Charts_Snapshot!J37</f>
        <v>3.99</v>
      </c>
      <c r="G45" s="22" t="n">
        <f aca="false">Charts_Snapshot!M37</f>
        <v>25667</v>
      </c>
      <c r="H45" s="20" t="n">
        <f aca="false">Charts_Snapshot!P37</f>
        <v>0.86</v>
      </c>
      <c r="I45" s="20" t="str">
        <f aca="false">Charts_Snapshot!N37</f>
        <v>Y</v>
      </c>
      <c r="J45" s="6" t="n">
        <f aca="false">MIN(MATCH(G45,BSR_Table!$A$2:$A$14,1),12)</f>
        <v>9</v>
      </c>
      <c r="K45" s="8" t="n">
        <f aca="false">INDEX(BSR_Table!$A$2:$A$14,J45)</f>
        <v>20000</v>
      </c>
      <c r="L45" s="8" t="n">
        <f aca="false">INDEX(BSR_Table!$A$2:$A$14,J45+1)</f>
        <v>50000</v>
      </c>
      <c r="M45" s="23" t="n">
        <f aca="false">INDEX(BSR_Table!$B$2:$B$14,J45)</f>
        <v>10</v>
      </c>
      <c r="N45" s="23" t="n">
        <f aca="false">INDEX(BSR_Table!$B$2:$B$14,J45+1)</f>
        <v>4</v>
      </c>
      <c r="O45" s="10" t="n">
        <f aca="false">EXP(LN(M45)+(LN(G45)-LN(K45))*(LN(N45)-LN(M45))/(LN(L45)-LN(K45)))</f>
        <v>7.79210659601823</v>
      </c>
      <c r="P45" s="10" t="n">
        <f aca="false">O45*(1-$B$2)</f>
        <v>4.67526395761094</v>
      </c>
      <c r="Q45" s="10" t="n">
        <f aca="false">O45*(1+$B$2)</f>
        <v>10.9089492344255</v>
      </c>
      <c r="R45" s="7" t="n">
        <f aca="false">IF(AND(F45&gt;=$B$4,F45&lt;=$B$5),MAX(0.7*F45-$B$3*H45,0.35*F45),0.35*F45)</f>
        <v>2.664</v>
      </c>
      <c r="S45" s="8" t="n">
        <f aca="false">O45*$B$6</f>
        <v>233.763197880547</v>
      </c>
      <c r="T45" s="24" t="n">
        <f aca="false">S45*R45</f>
        <v>622.745159153777</v>
      </c>
      <c r="U45" s="24" t="n">
        <f aca="false">P45*$B$6*R45</f>
        <v>373.647095492266</v>
      </c>
      <c r="V45" s="24" t="n">
        <f aca="false">Q45*$B$6*R45</f>
        <v>871.843222815287</v>
      </c>
      <c r="W45" s="6" t="s">
        <v>1160</v>
      </c>
    </row>
    <row r="46" customFormat="false" ht="15" hidden="false" customHeight="false" outlineLevel="0" collapsed="false">
      <c r="A46" s="20" t="str">
        <f aca="false">Charts_Snapshot!A38</f>
        <v>Stress Management|17</v>
      </c>
      <c r="B46" s="20" t="str">
        <f aca="false">Charts_Snapshot!B38</f>
        <v>Stress Management</v>
      </c>
      <c r="C46" s="20" t="n">
        <f aca="false">Charts_Snapshot!D38</f>
        <v>17</v>
      </c>
      <c r="D46" s="20" t="str">
        <f aca="false">Charts_Snapshot!E38</f>
        <v>The Way of the Wildflower: Gospel Meditations to Unburden Your Anxious Soul</v>
      </c>
      <c r="E46" s="20" t="str">
        <f aca="false">Charts_Snapshot!H38</f>
        <v>Traditional/established press</v>
      </c>
      <c r="F46" s="21" t="n">
        <f aca="false">Charts_Snapshot!J38</f>
        <v>3.99</v>
      </c>
      <c r="G46" s="22" t="n">
        <f aca="false">Charts_Snapshot!M38</f>
        <v>15479</v>
      </c>
      <c r="H46" s="20" t="n">
        <f aca="false">Charts_Snapshot!P38</f>
        <v>17.6</v>
      </c>
      <c r="I46" s="20" t="str">
        <f aca="false">Charts_Snapshot!N38</f>
        <v>N</v>
      </c>
      <c r="J46" s="6" t="n">
        <f aca="false">MIN(MATCH(G46,BSR_Table!$A$2:$A$14,1),12)</f>
        <v>8</v>
      </c>
      <c r="K46" s="8" t="n">
        <f aca="false">INDEX(BSR_Table!$A$2:$A$14,J46)</f>
        <v>10000</v>
      </c>
      <c r="L46" s="8" t="n">
        <f aca="false">INDEX(BSR_Table!$A$2:$A$14,J46+1)</f>
        <v>20000</v>
      </c>
      <c r="M46" s="23" t="n">
        <f aca="false">INDEX(BSR_Table!$B$2:$B$14,J46)</f>
        <v>20</v>
      </c>
      <c r="N46" s="23" t="n">
        <f aca="false">INDEX(BSR_Table!$B$2:$B$14,J46+1)</f>
        <v>10</v>
      </c>
      <c r="O46" s="10" t="n">
        <f aca="false">EXP(LN(M46)+(LN(G46)-LN(K46))*(LN(N46)-LN(M46))/(LN(L46)-LN(K46)))</f>
        <v>12.9207313133923</v>
      </c>
      <c r="P46" s="10" t="n">
        <f aca="false">O46*(1-$B$2)</f>
        <v>7.75243878803541</v>
      </c>
      <c r="Q46" s="10" t="n">
        <f aca="false">O46*(1+$B$2)</f>
        <v>18.0890238387493</v>
      </c>
      <c r="R46" s="7" t="n">
        <f aca="false">IF(AND(F46&gt;=$B$4,F46&lt;=$B$5),MAX(0.7*F46-$B$3*H46,0.35*F46),0.35*F46)</f>
        <v>1.3965</v>
      </c>
      <c r="S46" s="8" t="n">
        <f aca="false">O46*$B$6</f>
        <v>387.62193940177</v>
      </c>
      <c r="T46" s="24" t="n">
        <f aca="false">S46*R46</f>
        <v>541.314038374572</v>
      </c>
      <c r="U46" s="24" t="n">
        <f aca="false">P46*$B$6*R46</f>
        <v>324.788423024743</v>
      </c>
      <c r="V46" s="24" t="n">
        <f aca="false">Q46*$B$6*R46</f>
        <v>757.839653724401</v>
      </c>
      <c r="W46" s="6" t="s">
        <v>1160</v>
      </c>
    </row>
    <row r="47" customFormat="false" ht="15" hidden="false" customHeight="false" outlineLevel="0" collapsed="false">
      <c r="A47" s="20" t="str">
        <f aca="false">Charts_Snapshot!A39</f>
        <v>Stress Management|18</v>
      </c>
      <c r="B47" s="20" t="str">
        <f aca="false">Charts_Snapshot!B39</f>
        <v>Stress Management</v>
      </c>
      <c r="C47" s="20" t="n">
        <f aca="false">Charts_Snapshot!D39</f>
        <v>18</v>
      </c>
      <c r="D47" s="20" t="str">
        <f aca="false">Charts_Snapshot!E39</f>
        <v>The Art of Manifesting: A Meditative Drawing Practice to Rewire Your Brain and Create Your Reality</v>
      </c>
      <c r="E47" s="20" t="str">
        <f aca="false">Charts_Snapshot!H39</f>
        <v>Traditional/established press</v>
      </c>
      <c r="F47" s="21" t="n">
        <f aca="false">Charts_Snapshot!J39</f>
        <v>3.99</v>
      </c>
      <c r="G47" s="22" t="n">
        <f aca="false">Charts_Snapshot!M39</f>
        <v>16848</v>
      </c>
      <c r="H47" s="20" t="n">
        <f aca="false">Charts_Snapshot!P39</f>
        <v>14.9</v>
      </c>
      <c r="I47" s="20" t="str">
        <f aca="false">Charts_Snapshot!N39</f>
        <v>N</v>
      </c>
      <c r="J47" s="6" t="n">
        <f aca="false">MIN(MATCH(G47,BSR_Table!$A$2:$A$14,1),12)</f>
        <v>8</v>
      </c>
      <c r="K47" s="8" t="n">
        <f aca="false">INDEX(BSR_Table!$A$2:$A$14,J47)</f>
        <v>10000</v>
      </c>
      <c r="L47" s="8" t="n">
        <f aca="false">INDEX(BSR_Table!$A$2:$A$14,J47+1)</f>
        <v>20000</v>
      </c>
      <c r="M47" s="23" t="n">
        <f aca="false">INDEX(BSR_Table!$B$2:$B$14,J47)</f>
        <v>20</v>
      </c>
      <c r="N47" s="23" t="n">
        <f aca="false">INDEX(BSR_Table!$B$2:$B$14,J47+1)</f>
        <v>10</v>
      </c>
      <c r="O47" s="10" t="n">
        <f aca="false">EXP(LN(M47)+(LN(G47)-LN(K47))*(LN(N47)-LN(M47))/(LN(L47)-LN(K47)))</f>
        <v>11.8708452041785</v>
      </c>
      <c r="P47" s="10" t="n">
        <f aca="false">O47*(1-$B$2)</f>
        <v>7.12250712250713</v>
      </c>
      <c r="Q47" s="10" t="n">
        <f aca="false">O47*(1+$B$2)</f>
        <v>16.61918328585</v>
      </c>
      <c r="R47" s="7" t="n">
        <f aca="false">IF(AND(F47&gt;=$B$4,F47&lt;=$B$5),MAX(0.7*F47-$B$3*H47,0.35*F47),0.35*F47)</f>
        <v>1.3965</v>
      </c>
      <c r="S47" s="8" t="n">
        <f aca="false">O47*$B$6</f>
        <v>356.125356125356</v>
      </c>
      <c r="T47" s="24" t="n">
        <f aca="false">S47*R47</f>
        <v>497.32905982906</v>
      </c>
      <c r="U47" s="24" t="n">
        <f aca="false">P47*$B$6*R47</f>
        <v>298.397435897436</v>
      </c>
      <c r="V47" s="24" t="n">
        <f aca="false">Q47*$B$6*R47</f>
        <v>696.260683760684</v>
      </c>
      <c r="W47" s="6" t="s">
        <v>1160</v>
      </c>
    </row>
    <row r="48" customFormat="false" ht="15" hidden="false" customHeight="false" outlineLevel="0" collapsed="false">
      <c r="A48" s="20" t="str">
        <f aca="false">Charts_Snapshot!A40</f>
        <v>Stress Management|19</v>
      </c>
      <c r="B48" s="20" t="str">
        <f aca="false">Charts_Snapshot!B40</f>
        <v>Stress Management</v>
      </c>
      <c r="C48" s="20" t="n">
        <f aca="false">Charts_Snapshot!D40</f>
        <v>19</v>
      </c>
      <c r="D48" s="20" t="str">
        <f aca="false">Charts_Snapshot!E40</f>
        <v>Organizing for the Rest of Us: 100 Realistic Strategies to Keep Any House Under Control</v>
      </c>
      <c r="E48" s="20" t="str">
        <f aca="false">Charts_Snapshot!H40</f>
        <v>Traditional/established press</v>
      </c>
      <c r="F48" s="21" t="n">
        <f aca="false">Charts_Snapshot!J40</f>
        <v>3.99</v>
      </c>
      <c r="G48" s="22" t="n">
        <f aca="false">Charts_Snapshot!M40</f>
        <v>18127</v>
      </c>
      <c r="H48" s="20" t="n">
        <f aca="false">Charts_Snapshot!P40</f>
        <v>13.3</v>
      </c>
      <c r="I48" s="20" t="str">
        <f aca="false">Charts_Snapshot!N40</f>
        <v>Y</v>
      </c>
      <c r="J48" s="6" t="n">
        <f aca="false">MIN(MATCH(G48,BSR_Table!$A$2:$A$14,1),12)</f>
        <v>8</v>
      </c>
      <c r="K48" s="8" t="n">
        <f aca="false">INDEX(BSR_Table!$A$2:$A$14,J48)</f>
        <v>10000</v>
      </c>
      <c r="L48" s="8" t="n">
        <f aca="false">INDEX(BSR_Table!$A$2:$A$14,J48+1)</f>
        <v>20000</v>
      </c>
      <c r="M48" s="23" t="n">
        <f aca="false">INDEX(BSR_Table!$B$2:$B$14,J48)</f>
        <v>20</v>
      </c>
      <c r="N48" s="23" t="n">
        <f aca="false">INDEX(BSR_Table!$B$2:$B$14,J48+1)</f>
        <v>10</v>
      </c>
      <c r="O48" s="10" t="n">
        <f aca="false">EXP(LN(M48)+(LN(G48)-LN(K48))*(LN(N48)-LN(M48))/(LN(L48)-LN(K48)))</f>
        <v>11.033265294864</v>
      </c>
      <c r="P48" s="10" t="n">
        <f aca="false">O48*(1-$B$2)</f>
        <v>6.61995917691841</v>
      </c>
      <c r="Q48" s="10" t="n">
        <f aca="false">O48*(1+$B$2)</f>
        <v>15.4465714128096</v>
      </c>
      <c r="R48" s="7" t="n">
        <f aca="false">IF(AND(F48&gt;=$B$4,F48&lt;=$B$5),MAX(0.7*F48-$B$3*H48,0.35*F48),0.35*F48)</f>
        <v>1.3965</v>
      </c>
      <c r="S48" s="8" t="n">
        <f aca="false">O48*$B$6</f>
        <v>330.997958845921</v>
      </c>
      <c r="T48" s="24" t="n">
        <f aca="false">S48*R48</f>
        <v>462.238649528328</v>
      </c>
      <c r="U48" s="24" t="n">
        <f aca="false">P48*$B$6*R48</f>
        <v>277.343189716997</v>
      </c>
      <c r="V48" s="24" t="n">
        <f aca="false">Q48*$B$6*R48</f>
        <v>647.134109339659</v>
      </c>
      <c r="W48" s="6" t="s">
        <v>1160</v>
      </c>
    </row>
    <row r="49" customFormat="false" ht="15" hidden="false" customHeight="false" outlineLevel="0" collapsed="false">
      <c r="A49" s="20" t="str">
        <f aca="false">Charts_Snapshot!A41</f>
        <v>Stress Management|20</v>
      </c>
      <c r="B49" s="20" t="str">
        <f aca="false">Charts_Snapshot!B41</f>
        <v>Stress Management</v>
      </c>
      <c r="C49" s="20" t="n">
        <f aca="false">Charts_Snapshot!D41</f>
        <v>20</v>
      </c>
      <c r="D49" s="20" t="str">
        <f aca="false">Charts_Snapshot!E41</f>
        <v>The Big Leap: Conquer Your Hidden Fear and Take Life to the Next Level—A Transformative Guide to Overcoming Fears and False Beliefs for Personal Growth and Success</v>
      </c>
      <c r="E49" s="20" t="str">
        <f aca="false">Charts_Snapshot!H41</f>
        <v>Traditional/established press</v>
      </c>
      <c r="F49" s="21" t="n">
        <f aca="false">Charts_Snapshot!J41</f>
        <v>14.99</v>
      </c>
      <c r="G49" s="22" t="n">
        <f aca="false">Charts_Snapshot!M41</f>
        <v>22588</v>
      </c>
      <c r="H49" s="20" t="n">
        <f aca="false">Charts_Snapshot!P41</f>
        <v>1</v>
      </c>
      <c r="I49" s="20" t="str">
        <f aca="false">Charts_Snapshot!N41</f>
        <v>Y</v>
      </c>
      <c r="J49" s="6" t="n">
        <f aca="false">MIN(MATCH(G49,BSR_Table!$A$2:$A$14,1),12)</f>
        <v>9</v>
      </c>
      <c r="K49" s="8" t="n">
        <f aca="false">INDEX(BSR_Table!$A$2:$A$14,J49)</f>
        <v>20000</v>
      </c>
      <c r="L49" s="8" t="n">
        <f aca="false">INDEX(BSR_Table!$A$2:$A$14,J49+1)</f>
        <v>50000</v>
      </c>
      <c r="M49" s="23" t="n">
        <f aca="false">INDEX(BSR_Table!$B$2:$B$14,J49)</f>
        <v>10</v>
      </c>
      <c r="N49" s="23" t="n">
        <f aca="false">INDEX(BSR_Table!$B$2:$B$14,J49+1)</f>
        <v>4</v>
      </c>
      <c r="O49" s="10" t="n">
        <f aca="false">EXP(LN(M49)+(LN(G49)-LN(K49))*(LN(N49)-LN(M49))/(LN(L49)-LN(K49)))</f>
        <v>8.85425889853018</v>
      </c>
      <c r="P49" s="10" t="n">
        <f aca="false">O49*(1-$B$2)</f>
        <v>5.31255533911811</v>
      </c>
      <c r="Q49" s="10" t="n">
        <f aca="false">O49*(1+$B$2)</f>
        <v>12.3959624579423</v>
      </c>
      <c r="R49" s="7" t="n">
        <f aca="false">IF(AND(F49&gt;=$B$4,F49&lt;=$B$5),MAX(0.7*F49-$B$3*H49,0.35*F49),0.35*F49)</f>
        <v>5.2465</v>
      </c>
      <c r="S49" s="8" t="n">
        <f aca="false">O49*$B$6</f>
        <v>265.627766955905</v>
      </c>
      <c r="T49" s="24" t="n">
        <f aca="false">S49*R49</f>
        <v>1393.61607933416</v>
      </c>
      <c r="U49" s="24" t="n">
        <f aca="false">P49*$B$6*R49</f>
        <v>836.169647600495</v>
      </c>
      <c r="V49" s="24" t="n">
        <f aca="false">Q49*$B$6*R49</f>
        <v>1951.06251106782</v>
      </c>
      <c r="W49" s="6" t="s">
        <v>1160</v>
      </c>
    </row>
    <row r="50" customFormat="false" ht="15" hidden="false" customHeight="false" outlineLevel="0" collapsed="false">
      <c r="A50" s="20" t="str">
        <f aca="false">Charts_Snapshot!A42</f>
        <v>Self-Esteem|1</v>
      </c>
      <c r="B50" s="20" t="str">
        <f aca="false">Charts_Snapshot!B42</f>
        <v>Self-Esteem</v>
      </c>
      <c r="C50" s="20" t="n">
        <f aca="false">Charts_Snapshot!D42</f>
        <v>1</v>
      </c>
      <c r="D50" s="20" t="str">
        <f aca="false">Charts_Snapshot!E42</f>
        <v>The Courage to Be Disliked: The Japanese Phenomenon That Shows You How to Change Your Life and Achieve Real Happiness</v>
      </c>
      <c r="E50" s="20" t="str">
        <f aca="false">Charts_Snapshot!H42</f>
        <v>Traditional/established press</v>
      </c>
      <c r="F50" s="21" t="n">
        <f aca="false">Charts_Snapshot!J42</f>
        <v>2.99</v>
      </c>
      <c r="G50" s="22" t="n">
        <f aca="false">Charts_Snapshot!M42</f>
        <v>225</v>
      </c>
      <c r="H50" s="20" t="n">
        <f aca="false">Charts_Snapshot!P42</f>
        <v>2.6</v>
      </c>
      <c r="I50" s="20" t="str">
        <f aca="false">Charts_Snapshot!N42</f>
        <v>Y</v>
      </c>
      <c r="J50" s="6" t="n">
        <f aca="false">MIN(MATCH(G50,BSR_Table!$A$2:$A$14,1),12)</f>
        <v>2</v>
      </c>
      <c r="K50" s="8" t="n">
        <f aca="false">INDEX(BSR_Table!$A$2:$A$14,J50)</f>
        <v>100</v>
      </c>
      <c r="L50" s="8" t="n">
        <f aca="false">INDEX(BSR_Table!$A$2:$A$14,J50+1)</f>
        <v>250</v>
      </c>
      <c r="M50" s="23" t="n">
        <f aca="false">INDEX(BSR_Table!$B$2:$B$14,J50)</f>
        <v>1000</v>
      </c>
      <c r="N50" s="23" t="n">
        <f aca="false">INDEX(BSR_Table!$B$2:$B$14,J50+1)</f>
        <v>500</v>
      </c>
      <c r="O50" s="10" t="n">
        <f aca="false">EXP(LN(M50)+(LN(G50)-LN(K50))*(LN(N50)-LN(M50))/(LN(L50)-LN(K50)))</f>
        <v>541.482231116177</v>
      </c>
      <c r="P50" s="10" t="n">
        <f aca="false">O50*(1-$B$2)</f>
        <v>324.889338669706</v>
      </c>
      <c r="Q50" s="10" t="n">
        <f aca="false">O50*(1+$B$2)</f>
        <v>758.075123562648</v>
      </c>
      <c r="R50" s="7" t="n">
        <f aca="false">IF(AND(F50&gt;=$B$4,F50&lt;=$B$5),MAX(0.7*F50-$B$3*H50,0.35*F50),0.35*F50)</f>
        <v>1.703</v>
      </c>
      <c r="S50" s="8" t="n">
        <f aca="false">O50*$B$6</f>
        <v>16244.4669334853</v>
      </c>
      <c r="T50" s="24" t="n">
        <f aca="false">S50*R50</f>
        <v>27664.3271877255</v>
      </c>
      <c r="U50" s="24" t="n">
        <f aca="false">P50*$B$6*R50</f>
        <v>16598.5963126353</v>
      </c>
      <c r="V50" s="24" t="n">
        <f aca="false">Q50*$B$6*R50</f>
        <v>38730.0580628157</v>
      </c>
      <c r="W50" s="6" t="s">
        <v>1160</v>
      </c>
    </row>
    <row r="51" customFormat="false" ht="15" hidden="false" customHeight="false" outlineLevel="0" collapsed="false">
      <c r="A51" s="20" t="str">
        <f aca="false">Charts_Snapshot!A43</f>
        <v>Self-Esteem|2</v>
      </c>
      <c r="B51" s="20" t="str">
        <f aca="false">Charts_Snapshot!B43</f>
        <v>Self-Esteem</v>
      </c>
      <c r="C51" s="20" t="n">
        <f aca="false">Charts_Snapshot!D43</f>
        <v>2</v>
      </c>
      <c r="D51" s="20" t="str">
        <f aca="false">Charts_Snapshot!E43</f>
        <v>Daring Greatly: How the Courage to Be Vulnerable Transforms the Way We Live, Love, Parent, and Lead</v>
      </c>
      <c r="E51" s="20" t="str">
        <f aca="false">Charts_Snapshot!H43</f>
        <v>Traditional/established press</v>
      </c>
      <c r="F51" s="21" t="n">
        <f aca="false">Charts_Snapshot!J43</f>
        <v>1.99</v>
      </c>
      <c r="G51" s="22" t="n">
        <f aca="false">Charts_Snapshot!M43</f>
        <v>1177</v>
      </c>
      <c r="H51" s="20" t="n">
        <f aca="false">Charts_Snapshot!P43</f>
        <v>3.2</v>
      </c>
      <c r="I51" s="20" t="str">
        <f aca="false">Charts_Snapshot!N43</f>
        <v>N</v>
      </c>
      <c r="J51" s="6" t="n">
        <f aca="false">MIN(MATCH(G51,BSR_Table!$A$2:$A$14,1),12)</f>
        <v>5</v>
      </c>
      <c r="K51" s="8" t="n">
        <f aca="false">INDEX(BSR_Table!$A$2:$A$14,J51)</f>
        <v>1000</v>
      </c>
      <c r="L51" s="8" t="n">
        <f aca="false">INDEX(BSR_Table!$A$2:$A$14,J51+1)</f>
        <v>2000</v>
      </c>
      <c r="M51" s="23" t="n">
        <f aca="false">INDEX(BSR_Table!$B$2:$B$14,J51)</f>
        <v>120</v>
      </c>
      <c r="N51" s="23" t="n">
        <f aca="false">INDEX(BSR_Table!$B$2:$B$14,J51+1)</f>
        <v>65</v>
      </c>
      <c r="O51" s="10" t="n">
        <f aca="false">EXP(LN(M51)+(LN(G51)-LN(K51))*(LN(N51)-LN(M51))/(LN(L51)-LN(K51)))</f>
        <v>103.890982205347</v>
      </c>
      <c r="P51" s="10" t="n">
        <f aca="false">O51*(1-$B$2)</f>
        <v>62.3345893232082</v>
      </c>
      <c r="Q51" s="10" t="n">
        <f aca="false">O51*(1+$B$2)</f>
        <v>145.447375087486</v>
      </c>
      <c r="R51" s="7" t="n">
        <f aca="false">IF(AND(F51&gt;=$B$4,F51&lt;=$B$5),MAX(0.7*F51-$B$3*H51,0.35*F51),0.35*F51)</f>
        <v>0.6965</v>
      </c>
      <c r="S51" s="8" t="n">
        <f aca="false">O51*$B$6</f>
        <v>3116.72946616041</v>
      </c>
      <c r="T51" s="24" t="n">
        <f aca="false">S51*R51</f>
        <v>2170.80207318073</v>
      </c>
      <c r="U51" s="24" t="n">
        <f aca="false">P51*$B$6*R51</f>
        <v>1302.48124390844</v>
      </c>
      <c r="V51" s="24" t="n">
        <f aca="false">Q51*$B$6*R51</f>
        <v>3039.12290245302</v>
      </c>
      <c r="W51" s="6" t="s">
        <v>1160</v>
      </c>
    </row>
    <row r="52" customFormat="false" ht="15" hidden="false" customHeight="false" outlineLevel="0" collapsed="false">
      <c r="A52" s="20" t="str">
        <f aca="false">Charts_Snapshot!A44</f>
        <v>Self-Esteem|3</v>
      </c>
      <c r="B52" s="20" t="str">
        <f aca="false">Charts_Snapshot!B44</f>
        <v>Self-Esteem</v>
      </c>
      <c r="C52" s="20" t="n">
        <f aca="false">Charts_Snapshot!D44</f>
        <v>3</v>
      </c>
      <c r="D52" s="20" t="str">
        <f aca="false">Charts_Snapshot!E44</f>
        <v>Stop Letting Everything Affect You: How to break free from overthinking, emotional chaos, and self-sabotage.</v>
      </c>
      <c r="E52" s="20" t="str">
        <f aca="false">Charts_Snapshot!H44</f>
        <v>Indie imprint (inferred)</v>
      </c>
      <c r="F52" s="21" t="n">
        <f aca="false">Charts_Snapshot!J44</f>
        <v>9.99</v>
      </c>
      <c r="G52" s="22" t="n">
        <f aca="false">Charts_Snapshot!M44</f>
        <v>1695</v>
      </c>
      <c r="H52" s="20" t="n">
        <f aca="false">Charts_Snapshot!P44</f>
        <v>1.8</v>
      </c>
      <c r="I52" s="20" t="str">
        <f aca="false">Charts_Snapshot!N44</f>
        <v>N</v>
      </c>
      <c r="J52" s="6" t="n">
        <f aca="false">MIN(MATCH(G52,BSR_Table!$A$2:$A$14,1),12)</f>
        <v>5</v>
      </c>
      <c r="K52" s="8" t="n">
        <f aca="false">INDEX(BSR_Table!$A$2:$A$14,J52)</f>
        <v>1000</v>
      </c>
      <c r="L52" s="8" t="n">
        <f aca="false">INDEX(BSR_Table!$A$2:$A$14,J52+1)</f>
        <v>2000</v>
      </c>
      <c r="M52" s="23" t="n">
        <f aca="false">INDEX(BSR_Table!$B$2:$B$14,J52)</f>
        <v>120</v>
      </c>
      <c r="N52" s="23" t="n">
        <f aca="false">INDEX(BSR_Table!$B$2:$B$14,J52+1)</f>
        <v>65</v>
      </c>
      <c r="O52" s="10" t="n">
        <f aca="false">EXP(LN(M52)+(LN(G52)-LN(K52))*(LN(N52)-LN(M52))/(LN(L52)-LN(K52)))</f>
        <v>75.2446147693705</v>
      </c>
      <c r="P52" s="10" t="n">
        <f aca="false">O52*(1-$B$2)</f>
        <v>45.1467688616223</v>
      </c>
      <c r="Q52" s="10" t="n">
        <f aca="false">O52*(1+$B$2)</f>
        <v>105.342460677119</v>
      </c>
      <c r="R52" s="7" t="n">
        <f aca="false">IF(AND(F52&gt;=$B$4,F52&lt;=$B$5),MAX(0.7*F52-$B$3*H52,0.35*F52),0.35*F52)</f>
        <v>6.723</v>
      </c>
      <c r="S52" s="8" t="n">
        <f aca="false">O52*$B$6</f>
        <v>2257.33844308112</v>
      </c>
      <c r="T52" s="24" t="n">
        <f aca="false">S52*R52</f>
        <v>15176.0863528343</v>
      </c>
      <c r="U52" s="24" t="n">
        <f aca="false">P52*$B$6*R52</f>
        <v>9105.65181170061</v>
      </c>
      <c r="V52" s="24" t="n">
        <f aca="false">Q52*$B$6*R52</f>
        <v>21246.5208939681</v>
      </c>
      <c r="W52" s="6" t="s">
        <v>1160</v>
      </c>
    </row>
    <row r="53" customFormat="false" ht="15" hidden="false" customHeight="false" outlineLevel="0" collapsed="false">
      <c r="A53" s="20" t="str">
        <f aca="false">Charts_Snapshot!A45</f>
        <v>Self-Esteem|4</v>
      </c>
      <c r="B53" s="20" t="str">
        <f aca="false">Charts_Snapshot!B45</f>
        <v>Self-Esteem</v>
      </c>
      <c r="C53" s="20" t="n">
        <f aca="false">Charts_Snapshot!D45</f>
        <v>4</v>
      </c>
      <c r="D53" s="20" t="str">
        <f aca="false">Charts_Snapshot!E45</f>
        <v>Reparenting the Inner Child: The New Science of Our Oldest Wounds and How to Heal Them</v>
      </c>
      <c r="E53" s="20" t="str">
        <f aca="false">Charts_Snapshot!H45</f>
        <v>Traditional/established press</v>
      </c>
      <c r="F53" s="21" t="n">
        <f aca="false">Charts_Snapshot!J45</f>
        <v>2.99</v>
      </c>
      <c r="G53" s="22" t="n">
        <f aca="false">Charts_Snapshot!M45</f>
        <v>1876</v>
      </c>
      <c r="H53" s="20" t="n">
        <f aca="false">Charts_Snapshot!P45</f>
        <v>3.5</v>
      </c>
      <c r="I53" s="20" t="str">
        <f aca="false">Charts_Snapshot!N45</f>
        <v>N</v>
      </c>
      <c r="J53" s="6" t="n">
        <f aca="false">MIN(MATCH(G53,BSR_Table!$A$2:$A$14,1),12)</f>
        <v>5</v>
      </c>
      <c r="K53" s="8" t="n">
        <f aca="false">INDEX(BSR_Table!$A$2:$A$14,J53)</f>
        <v>1000</v>
      </c>
      <c r="L53" s="8" t="n">
        <f aca="false">INDEX(BSR_Table!$A$2:$A$14,J53+1)</f>
        <v>2000</v>
      </c>
      <c r="M53" s="23" t="n">
        <f aca="false">INDEX(BSR_Table!$B$2:$B$14,J53)</f>
        <v>120</v>
      </c>
      <c r="N53" s="23" t="n">
        <f aca="false">INDEX(BSR_Table!$B$2:$B$14,J53+1)</f>
        <v>65</v>
      </c>
      <c r="O53" s="10" t="n">
        <f aca="false">EXP(LN(M53)+(LN(G53)-LN(K53))*(LN(N53)-LN(M53))/(LN(L53)-LN(K53)))</f>
        <v>68.7860829975987</v>
      </c>
      <c r="P53" s="10" t="n">
        <f aca="false">O53*(1-$B$2)</f>
        <v>41.2716497985592</v>
      </c>
      <c r="Q53" s="10" t="n">
        <f aca="false">O53*(1+$B$2)</f>
        <v>96.3005161966382</v>
      </c>
      <c r="R53" s="7" t="n">
        <f aca="false">IF(AND(F53&gt;=$B$4,F53&lt;=$B$5),MAX(0.7*F53-$B$3*H53,0.35*F53),0.35*F53)</f>
        <v>1.568</v>
      </c>
      <c r="S53" s="8" t="n">
        <f aca="false">O53*$B$6</f>
        <v>2063.58248992796</v>
      </c>
      <c r="T53" s="24" t="n">
        <f aca="false">S53*R53</f>
        <v>3235.69734420705</v>
      </c>
      <c r="U53" s="24" t="n">
        <f aca="false">P53*$B$6*R53</f>
        <v>1941.41840652423</v>
      </c>
      <c r="V53" s="24" t="n">
        <f aca="false">Q53*$B$6*R53</f>
        <v>4529.97628188986</v>
      </c>
      <c r="W53" s="6" t="s">
        <v>1160</v>
      </c>
    </row>
    <row r="54" customFormat="false" ht="15" hidden="false" customHeight="false" outlineLevel="0" collapsed="false">
      <c r="A54" s="20" t="str">
        <f aca="false">Charts_Snapshot!A46</f>
        <v>Self-Esteem|5</v>
      </c>
      <c r="B54" s="20" t="str">
        <f aca="false">Charts_Snapshot!B46</f>
        <v>Self-Esteem</v>
      </c>
      <c r="C54" s="20" t="n">
        <f aca="false">Charts_Snapshot!D46</f>
        <v>5</v>
      </c>
      <c r="D54" s="20" t="str">
        <f aca="false">Charts_Snapshot!E46</f>
        <v>Once Upon a Trainwreck: The Fall and Rise of a Child Star</v>
      </c>
      <c r="E54" s="20" t="str">
        <f aca="false">Charts_Snapshot!H46</f>
        <v>Traditional/established press</v>
      </c>
      <c r="F54" s="21" t="n">
        <f aca="false">Charts_Snapshot!J46</f>
        <v>14.99</v>
      </c>
      <c r="G54" s="22" t="n">
        <f aca="false">Charts_Snapshot!M46</f>
        <v>2416</v>
      </c>
      <c r="H54" s="20" t="n">
        <f aca="false">Charts_Snapshot!P46</f>
        <v>8</v>
      </c>
      <c r="I54" s="20" t="str">
        <f aca="false">Charts_Snapshot!N46</f>
        <v>N</v>
      </c>
      <c r="J54" s="6" t="n">
        <f aca="false">MIN(MATCH(G54,BSR_Table!$A$2:$A$14,1),12)</f>
        <v>6</v>
      </c>
      <c r="K54" s="8" t="n">
        <f aca="false">INDEX(BSR_Table!$A$2:$A$14,J54)</f>
        <v>2000</v>
      </c>
      <c r="L54" s="8" t="n">
        <f aca="false">INDEX(BSR_Table!$A$2:$A$14,J54+1)</f>
        <v>5000</v>
      </c>
      <c r="M54" s="23" t="n">
        <f aca="false">INDEX(BSR_Table!$B$2:$B$14,J54)</f>
        <v>65</v>
      </c>
      <c r="N54" s="23" t="n">
        <f aca="false">INDEX(BSR_Table!$B$2:$B$14,J54+1)</f>
        <v>30</v>
      </c>
      <c r="O54" s="10" t="n">
        <f aca="false">EXP(LN(M54)+(LN(G54)-LN(K54))*(LN(N54)-LN(M54))/(LN(L54)-LN(K54)))</f>
        <v>55.41956960394</v>
      </c>
      <c r="P54" s="10" t="n">
        <f aca="false">O54*(1-$B$2)</f>
        <v>33.251741762364</v>
      </c>
      <c r="Q54" s="10" t="n">
        <f aca="false">O54*(1+$B$2)</f>
        <v>77.587397445516</v>
      </c>
      <c r="R54" s="7" t="n">
        <f aca="false">IF(AND(F54&gt;=$B$4,F54&lt;=$B$5),MAX(0.7*F54-$B$3*H54,0.35*F54),0.35*F54)</f>
        <v>5.2465</v>
      </c>
      <c r="S54" s="8" t="n">
        <f aca="false">O54*$B$6</f>
        <v>1662.5870881182</v>
      </c>
      <c r="T54" s="24" t="n">
        <f aca="false">S54*R54</f>
        <v>8722.76315781214</v>
      </c>
      <c r="U54" s="24" t="n">
        <f aca="false">P54*$B$6*R54</f>
        <v>5233.65789468728</v>
      </c>
      <c r="V54" s="24" t="n">
        <f aca="false">Q54*$B$6*R54</f>
        <v>12211.868420937</v>
      </c>
      <c r="W54" s="6" t="s">
        <v>1160</v>
      </c>
    </row>
    <row r="55" customFormat="false" ht="15" hidden="false" customHeight="false" outlineLevel="0" collapsed="false">
      <c r="A55" s="20" t="str">
        <f aca="false">Charts_Snapshot!A47</f>
        <v>Self-Esteem|6</v>
      </c>
      <c r="B55" s="20" t="str">
        <f aca="false">Charts_Snapshot!B47</f>
        <v>Self-Esteem</v>
      </c>
      <c r="C55" s="20" t="n">
        <f aca="false">Charts_Snapshot!D47</f>
        <v>6</v>
      </c>
      <c r="D55" s="20" t="str">
        <f aca="false">Charts_Snapshot!E47</f>
        <v>The Art of Letting Go: Stop Overthinking, Stop Negative Spirals, and Find Emotional Freedom (The Path to Calm Book 2)</v>
      </c>
      <c r="E55" s="20" t="str">
        <f aca="false">Charts_Snapshot!H47</f>
        <v>Indie imprint (inferred)</v>
      </c>
      <c r="F55" s="21" t="n">
        <f aca="false">Charts_Snapshot!J47</f>
        <v>1.99</v>
      </c>
      <c r="G55" s="22" t="n">
        <f aca="false">Charts_Snapshot!M47</f>
        <v>2651</v>
      </c>
      <c r="H55" s="20" t="n">
        <f aca="false">Charts_Snapshot!P47</f>
        <v>0.85</v>
      </c>
      <c r="I55" s="20" t="str">
        <f aca="false">Charts_Snapshot!N47</f>
        <v>N</v>
      </c>
      <c r="J55" s="6" t="n">
        <f aca="false">MIN(MATCH(G55,BSR_Table!$A$2:$A$14,1),12)</f>
        <v>6</v>
      </c>
      <c r="K55" s="8" t="n">
        <f aca="false">INDEX(BSR_Table!$A$2:$A$14,J55)</f>
        <v>2000</v>
      </c>
      <c r="L55" s="8" t="n">
        <f aca="false">INDEX(BSR_Table!$A$2:$A$14,J55+1)</f>
        <v>5000</v>
      </c>
      <c r="M55" s="23" t="n">
        <f aca="false">INDEX(BSR_Table!$B$2:$B$14,J55)</f>
        <v>65</v>
      </c>
      <c r="N55" s="23" t="n">
        <f aca="false">INDEX(BSR_Table!$B$2:$B$14,J55+1)</f>
        <v>30</v>
      </c>
      <c r="O55" s="10" t="n">
        <f aca="false">EXP(LN(M55)+(LN(G55)-LN(K55))*(LN(N55)-LN(M55))/(LN(L55)-LN(K55)))</f>
        <v>51.2443706973968</v>
      </c>
      <c r="P55" s="10" t="n">
        <f aca="false">O55*(1-$B$2)</f>
        <v>30.7466224184381</v>
      </c>
      <c r="Q55" s="10" t="n">
        <f aca="false">O55*(1+$B$2)</f>
        <v>71.7421189763556</v>
      </c>
      <c r="R55" s="7" t="n">
        <f aca="false">IF(AND(F55&gt;=$B$4,F55&lt;=$B$5),MAX(0.7*F55-$B$3*H55,0.35*F55),0.35*F55)</f>
        <v>0.6965</v>
      </c>
      <c r="S55" s="8" t="n">
        <f aca="false">O55*$B$6</f>
        <v>1537.3311209219</v>
      </c>
      <c r="T55" s="24" t="n">
        <f aca="false">S55*R55</f>
        <v>1070.75112572211</v>
      </c>
      <c r="U55" s="24" t="n">
        <f aca="false">P55*$B$6*R55</f>
        <v>642.450675433264</v>
      </c>
      <c r="V55" s="24" t="n">
        <f aca="false">Q55*$B$6*R55</f>
        <v>1499.05157601095</v>
      </c>
      <c r="W55" s="6" t="s">
        <v>1160</v>
      </c>
    </row>
    <row r="56" customFormat="false" ht="15" hidden="false" customHeight="false" outlineLevel="0" collapsed="false">
      <c r="A56" s="20" t="str">
        <f aca="false">Charts_Snapshot!A48</f>
        <v>Self-Esteem|7</v>
      </c>
      <c r="B56" s="20" t="str">
        <f aca="false">Charts_Snapshot!B48</f>
        <v>Self-Esteem</v>
      </c>
      <c r="C56" s="20" t="n">
        <f aca="false">Charts_Snapshot!D48</f>
        <v>7</v>
      </c>
      <c r="D56" s="20" t="str">
        <f aca="false">Charts_Snapshot!E48</f>
        <v>You’re Going to Die and You Haven’t Started Living Yet: Timeless Lessons to Build a Life That Matters</v>
      </c>
      <c r="E56" s="20" t="str">
        <f aca="false">Charts_Snapshot!H48</f>
        <v>Indie imprint (inferred)</v>
      </c>
      <c r="F56" s="21" t="n">
        <f aca="false">Charts_Snapshot!J48</f>
        <v>8.99</v>
      </c>
      <c r="G56" s="22" t="n">
        <f aca="false">Charts_Snapshot!M48</f>
        <v>2898</v>
      </c>
      <c r="H56" s="20" t="n">
        <f aca="false">Charts_Snapshot!P48</f>
        <v>0.35</v>
      </c>
      <c r="I56" s="20" t="str">
        <f aca="false">Charts_Snapshot!N48</f>
        <v>Y</v>
      </c>
      <c r="J56" s="6" t="n">
        <f aca="false">MIN(MATCH(G56,BSR_Table!$A$2:$A$14,1),12)</f>
        <v>6</v>
      </c>
      <c r="K56" s="8" t="n">
        <f aca="false">INDEX(BSR_Table!$A$2:$A$14,J56)</f>
        <v>2000</v>
      </c>
      <c r="L56" s="8" t="n">
        <f aca="false">INDEX(BSR_Table!$A$2:$A$14,J56+1)</f>
        <v>5000</v>
      </c>
      <c r="M56" s="23" t="n">
        <f aca="false">INDEX(BSR_Table!$B$2:$B$14,J56)</f>
        <v>65</v>
      </c>
      <c r="N56" s="23" t="n">
        <f aca="false">INDEX(BSR_Table!$B$2:$B$14,J56+1)</f>
        <v>30</v>
      </c>
      <c r="O56" s="10" t="n">
        <f aca="false">EXP(LN(M56)+(LN(G56)-LN(K56))*(LN(N56)-LN(M56))/(LN(L56)-LN(K56)))</f>
        <v>47.5334870067858</v>
      </c>
      <c r="P56" s="10" t="n">
        <f aca="false">O56*(1-$B$2)</f>
        <v>28.5200922040715</v>
      </c>
      <c r="Q56" s="10" t="n">
        <f aca="false">O56*(1+$B$2)</f>
        <v>66.5468818095001</v>
      </c>
      <c r="R56" s="7" t="n">
        <f aca="false">IF(AND(F56&gt;=$B$4,F56&lt;=$B$5),MAX(0.7*F56-$B$3*H56,0.35*F56),0.35*F56)</f>
        <v>6.2405</v>
      </c>
      <c r="S56" s="8" t="n">
        <f aca="false">O56*$B$6</f>
        <v>1426.00461020357</v>
      </c>
      <c r="T56" s="24" t="n">
        <f aca="false">S56*R56</f>
        <v>8898.9817699754</v>
      </c>
      <c r="U56" s="24" t="n">
        <f aca="false">P56*$B$6*R56</f>
        <v>5339.38906198524</v>
      </c>
      <c r="V56" s="24" t="n">
        <f aca="false">Q56*$B$6*R56</f>
        <v>12458.5744779656</v>
      </c>
      <c r="W56" s="6" t="s">
        <v>1160</v>
      </c>
    </row>
    <row r="57" customFormat="false" ht="15" hidden="false" customHeight="false" outlineLevel="0" collapsed="false">
      <c r="A57" s="20" t="str">
        <f aca="false">Charts_Snapshot!A49</f>
        <v>Self-Esteem|8</v>
      </c>
      <c r="B57" s="20" t="str">
        <f aca="false">Charts_Snapshot!B49</f>
        <v>Self-Esteem</v>
      </c>
      <c r="C57" s="20" t="n">
        <f aca="false">Charts_Snapshot!D49</f>
        <v>8</v>
      </c>
      <c r="D57" s="20" t="str">
        <f aca="false">Charts_Snapshot!E49</f>
        <v>How to Get a Return on Failure: Fail Smarter—Return Stronger</v>
      </c>
      <c r="E57" s="20" t="str">
        <f aca="false">Charts_Snapshot!H49</f>
        <v>Traditional/established press</v>
      </c>
      <c r="F57" s="21" t="n">
        <f aca="false">Charts_Snapshot!J49</f>
        <v>1.99</v>
      </c>
      <c r="G57" s="22" t="n">
        <f aca="false">Charts_Snapshot!M49</f>
        <v>3159</v>
      </c>
      <c r="H57" s="20" t="n">
        <f aca="false">Charts_Snapshot!P49</f>
        <v>2.3</v>
      </c>
      <c r="I57" s="20" t="str">
        <f aca="false">Charts_Snapshot!N49</f>
        <v>N</v>
      </c>
      <c r="J57" s="6" t="n">
        <f aca="false">MIN(MATCH(G57,BSR_Table!$A$2:$A$14,1),12)</f>
        <v>6</v>
      </c>
      <c r="K57" s="8" t="n">
        <f aca="false">INDEX(BSR_Table!$A$2:$A$14,J57)</f>
        <v>2000</v>
      </c>
      <c r="L57" s="8" t="n">
        <f aca="false">INDEX(BSR_Table!$A$2:$A$14,J57+1)</f>
        <v>5000</v>
      </c>
      <c r="M57" s="23" t="n">
        <f aca="false">INDEX(BSR_Table!$B$2:$B$14,J57)</f>
        <v>65</v>
      </c>
      <c r="N57" s="23" t="n">
        <f aca="false">INDEX(BSR_Table!$B$2:$B$14,J57+1)</f>
        <v>30</v>
      </c>
      <c r="O57" s="10" t="n">
        <f aca="false">EXP(LN(M57)+(LN(G57)-LN(K57))*(LN(N57)-LN(M57))/(LN(L57)-LN(K57)))</f>
        <v>44.1974632146084</v>
      </c>
      <c r="P57" s="10" t="n">
        <f aca="false">O57*(1-$B$2)</f>
        <v>26.5184779287651</v>
      </c>
      <c r="Q57" s="10" t="n">
        <f aca="false">O57*(1+$B$2)</f>
        <v>61.8764485004518</v>
      </c>
      <c r="R57" s="7" t="n">
        <f aca="false">IF(AND(F57&gt;=$B$4,F57&lt;=$B$5),MAX(0.7*F57-$B$3*H57,0.35*F57),0.35*F57)</f>
        <v>0.6965</v>
      </c>
      <c r="S57" s="8" t="n">
        <f aca="false">O57*$B$6</f>
        <v>1325.92389643825</v>
      </c>
      <c r="T57" s="24" t="n">
        <f aca="false">S57*R57</f>
        <v>923.505993869243</v>
      </c>
      <c r="U57" s="24" t="n">
        <f aca="false">P57*$B$6*R57</f>
        <v>554.103596321546</v>
      </c>
      <c r="V57" s="24" t="n">
        <f aca="false">Q57*$B$6*R57</f>
        <v>1292.90839141694</v>
      </c>
      <c r="W57" s="6" t="s">
        <v>1160</v>
      </c>
    </row>
    <row r="58" customFormat="false" ht="15" hidden="false" customHeight="false" outlineLevel="0" collapsed="false">
      <c r="A58" s="20" t="str">
        <f aca="false">Charts_Snapshot!A50</f>
        <v>Self-Esteem|9</v>
      </c>
      <c r="B58" s="20" t="str">
        <f aca="false">Charts_Snapshot!B50</f>
        <v>Self-Esteem</v>
      </c>
      <c r="C58" s="20" t="n">
        <f aca="false">Charts_Snapshot!D50</f>
        <v>9</v>
      </c>
      <c r="D58" s="20" t="str">
        <f aca="false">Charts_Snapshot!E50</f>
        <v>The Honest Enneagram: Know Your Type, Own Your Challenges, Embrace Your Growth</v>
      </c>
      <c r="E58" s="20" t="str">
        <f aca="false">Charts_Snapshot!H50</f>
        <v>Traditional/established press</v>
      </c>
      <c r="F58" s="21" t="n">
        <f aca="false">Charts_Snapshot!J50</f>
        <v>1.99</v>
      </c>
      <c r="G58" s="22" t="n">
        <f aca="false">Charts_Snapshot!M50</f>
        <v>3667</v>
      </c>
      <c r="H58" s="20" t="n">
        <f aca="false">Charts_Snapshot!P50</f>
        <v>10.8</v>
      </c>
      <c r="I58" s="20" t="str">
        <f aca="false">Charts_Snapshot!N50</f>
        <v>Y</v>
      </c>
      <c r="J58" s="6" t="n">
        <f aca="false">MIN(MATCH(G58,BSR_Table!$A$2:$A$14,1),12)</f>
        <v>6</v>
      </c>
      <c r="K58" s="8" t="n">
        <f aca="false">INDEX(BSR_Table!$A$2:$A$14,J58)</f>
        <v>2000</v>
      </c>
      <c r="L58" s="8" t="n">
        <f aca="false">INDEX(BSR_Table!$A$2:$A$14,J58+1)</f>
        <v>5000</v>
      </c>
      <c r="M58" s="23" t="n">
        <f aca="false">INDEX(BSR_Table!$B$2:$B$14,J58)</f>
        <v>65</v>
      </c>
      <c r="N58" s="23" t="n">
        <f aca="false">INDEX(BSR_Table!$B$2:$B$14,J58+1)</f>
        <v>30</v>
      </c>
      <c r="O58" s="10" t="n">
        <f aca="false">EXP(LN(M58)+(LN(G58)-LN(K58))*(LN(N58)-LN(M58))/(LN(L58)-LN(K58)))</f>
        <v>38.9717664840186</v>
      </c>
      <c r="P58" s="10" t="n">
        <f aca="false">O58*(1-$B$2)</f>
        <v>23.3830598904112</v>
      </c>
      <c r="Q58" s="10" t="n">
        <f aca="false">O58*(1+$B$2)</f>
        <v>54.5604730776261</v>
      </c>
      <c r="R58" s="7" t="n">
        <f aca="false">IF(AND(F58&gt;=$B$4,F58&lt;=$B$5),MAX(0.7*F58-$B$3*H58,0.35*F58),0.35*F58)</f>
        <v>0.6965</v>
      </c>
      <c r="S58" s="8" t="n">
        <f aca="false">O58*$B$6</f>
        <v>1169.15299452056</v>
      </c>
      <c r="T58" s="24" t="n">
        <f aca="false">S58*R58</f>
        <v>814.31506068357</v>
      </c>
      <c r="U58" s="24" t="n">
        <f aca="false">P58*$B$6*R58</f>
        <v>488.589036410142</v>
      </c>
      <c r="V58" s="24" t="n">
        <f aca="false">Q58*$B$6*R58</f>
        <v>1140.041084957</v>
      </c>
      <c r="W58" s="6" t="s">
        <v>1160</v>
      </c>
    </row>
    <row r="59" customFormat="false" ht="15" hidden="false" customHeight="false" outlineLevel="0" collapsed="false">
      <c r="A59" s="20" t="str">
        <f aca="false">Charts_Snapshot!A51</f>
        <v>Self-Esteem|10</v>
      </c>
      <c r="B59" s="20" t="str">
        <f aca="false">Charts_Snapshot!B51</f>
        <v>Self-Esteem</v>
      </c>
      <c r="C59" s="20" t="n">
        <f aca="false">Charts_Snapshot!D51</f>
        <v>10</v>
      </c>
      <c r="D59" s="20" t="str">
        <f aca="false">Charts_Snapshot!E51</f>
        <v>Stop Overthinking: 23 Techniques to Relieve Stress, Stop Negative Spirals, Declutter Your Mind, and Focus on the Present (The Path to Calm Book 1)</v>
      </c>
      <c r="E59" s="20" t="str">
        <f aca="false">Charts_Snapshot!H51</f>
        <v>Indie imprint (inferred)</v>
      </c>
      <c r="F59" s="21" t="n">
        <f aca="false">Charts_Snapshot!J51</f>
        <v>1.99</v>
      </c>
      <c r="G59" s="22" t="n">
        <f aca="false">Charts_Snapshot!M51</f>
        <v>3934</v>
      </c>
      <c r="H59" s="20" t="n">
        <f aca="false">Charts_Snapshot!P51</f>
        <v>1.1</v>
      </c>
      <c r="I59" s="20" t="str">
        <f aca="false">Charts_Snapshot!N51</f>
        <v>N</v>
      </c>
      <c r="J59" s="6" t="n">
        <f aca="false">MIN(MATCH(G59,BSR_Table!$A$2:$A$14,1),12)</f>
        <v>6</v>
      </c>
      <c r="K59" s="8" t="n">
        <f aca="false">INDEX(BSR_Table!$A$2:$A$14,J59)</f>
        <v>2000</v>
      </c>
      <c r="L59" s="8" t="n">
        <f aca="false">INDEX(BSR_Table!$A$2:$A$14,J59+1)</f>
        <v>5000</v>
      </c>
      <c r="M59" s="23" t="n">
        <f aca="false">INDEX(BSR_Table!$B$2:$B$14,J59)</f>
        <v>65</v>
      </c>
      <c r="N59" s="23" t="n">
        <f aca="false">INDEX(BSR_Table!$B$2:$B$14,J59+1)</f>
        <v>30</v>
      </c>
      <c r="O59" s="10" t="n">
        <f aca="false">EXP(LN(M59)+(LN(G59)-LN(K59))*(LN(N59)-LN(M59))/(LN(L59)-LN(K59)))</f>
        <v>36.7276901957957</v>
      </c>
      <c r="P59" s="10" t="n">
        <f aca="false">O59*(1-$B$2)</f>
        <v>22.0366141174774</v>
      </c>
      <c r="Q59" s="10" t="n">
        <f aca="false">O59*(1+$B$2)</f>
        <v>51.418766274114</v>
      </c>
      <c r="R59" s="7" t="n">
        <f aca="false">IF(AND(F59&gt;=$B$4,F59&lt;=$B$5),MAX(0.7*F59-$B$3*H59,0.35*F59),0.35*F59)</f>
        <v>0.6965</v>
      </c>
      <c r="S59" s="8" t="n">
        <f aca="false">O59*$B$6</f>
        <v>1101.83070587387</v>
      </c>
      <c r="T59" s="24" t="n">
        <f aca="false">S59*R59</f>
        <v>767.425086641151</v>
      </c>
      <c r="U59" s="24" t="n">
        <f aca="false">P59*$B$6*R59</f>
        <v>460.455051984691</v>
      </c>
      <c r="V59" s="24" t="n">
        <f aca="false">Q59*$B$6*R59</f>
        <v>1074.39512129761</v>
      </c>
      <c r="W59" s="6" t="s">
        <v>1160</v>
      </c>
    </row>
    <row r="60" customFormat="false" ht="15" hidden="false" customHeight="false" outlineLevel="0" collapsed="false">
      <c r="A60" s="20" t="str">
        <f aca="false">Charts_Snapshot!A52</f>
        <v>Self-Esteem|11</v>
      </c>
      <c r="B60" s="20" t="str">
        <f aca="false">Charts_Snapshot!B52</f>
        <v>Self-Esteem</v>
      </c>
      <c r="C60" s="20" t="n">
        <f aca="false">Charts_Snapshot!D52</f>
        <v>11</v>
      </c>
      <c r="D60" s="20" t="str">
        <f aca="false">Charts_Snapshot!E52</f>
        <v>Make Your Bed: Little Things That Can Change Your Life...And Maybe the World</v>
      </c>
      <c r="E60" s="20" t="str">
        <f aca="false">Charts_Snapshot!H52</f>
        <v>Traditional/established press</v>
      </c>
      <c r="F60" s="21" t="n">
        <f aca="false">Charts_Snapshot!J52</f>
        <v>4.99</v>
      </c>
      <c r="G60" s="22" t="n">
        <f aca="false">Charts_Snapshot!M52</f>
        <v>4802</v>
      </c>
      <c r="H60" s="20" t="n">
        <f aca="false">Charts_Snapshot!P52</f>
        <v>1</v>
      </c>
      <c r="I60" s="20" t="str">
        <f aca="false">Charts_Snapshot!N52</f>
        <v>N</v>
      </c>
      <c r="J60" s="6" t="n">
        <f aca="false">MIN(MATCH(G60,BSR_Table!$A$2:$A$14,1),12)</f>
        <v>6</v>
      </c>
      <c r="K60" s="8" t="n">
        <f aca="false">INDEX(BSR_Table!$A$2:$A$14,J60)</f>
        <v>2000</v>
      </c>
      <c r="L60" s="8" t="n">
        <f aca="false">INDEX(BSR_Table!$A$2:$A$14,J60+1)</f>
        <v>5000</v>
      </c>
      <c r="M60" s="23" t="n">
        <f aca="false">INDEX(BSR_Table!$B$2:$B$14,J60)</f>
        <v>65</v>
      </c>
      <c r="N60" s="23" t="n">
        <f aca="false">INDEX(BSR_Table!$B$2:$B$14,J60+1)</f>
        <v>30</v>
      </c>
      <c r="O60" s="10" t="n">
        <f aca="false">EXP(LN(M60)+(LN(G60)-LN(K60))*(LN(N60)-LN(M60))/(LN(L60)-LN(K60)))</f>
        <v>31.0404911602631</v>
      </c>
      <c r="P60" s="10" t="n">
        <f aca="false">O60*(1-$B$2)</f>
        <v>18.6242946961578</v>
      </c>
      <c r="Q60" s="10" t="n">
        <f aca="false">O60*(1+$B$2)</f>
        <v>43.4566876243683</v>
      </c>
      <c r="R60" s="7" t="n">
        <f aca="false">IF(AND(F60&gt;=$B$4,F60&lt;=$B$5),MAX(0.7*F60-$B$3*H60,0.35*F60),0.35*F60)</f>
        <v>3.343</v>
      </c>
      <c r="S60" s="8" t="n">
        <f aca="false">O60*$B$6</f>
        <v>931.214734807892</v>
      </c>
      <c r="T60" s="24" t="n">
        <f aca="false">S60*R60</f>
        <v>3113.05085846278</v>
      </c>
      <c r="U60" s="24" t="n">
        <f aca="false">P60*$B$6*R60</f>
        <v>1867.83051507767</v>
      </c>
      <c r="V60" s="24" t="n">
        <f aca="false">Q60*$B$6*R60</f>
        <v>4358.2712018479</v>
      </c>
      <c r="W60" s="6" t="s">
        <v>1160</v>
      </c>
    </row>
    <row r="61" customFormat="false" ht="15" hidden="false" customHeight="false" outlineLevel="0" collapsed="false">
      <c r="A61" s="20" t="str">
        <f aca="false">Charts_Snapshot!A53</f>
        <v>Self-Esteem|12</v>
      </c>
      <c r="B61" s="20" t="str">
        <f aca="false">Charts_Snapshot!B53</f>
        <v>Self-Esteem</v>
      </c>
      <c r="C61" s="20" t="n">
        <f aca="false">Charts_Snapshot!D53</f>
        <v>12</v>
      </c>
      <c r="D61" s="20" t="str">
        <f aca="false">Charts_Snapshot!E53</f>
        <v>The Power of Now: A Guide to Spiritual Enlightenment</v>
      </c>
      <c r="E61" s="20" t="str">
        <f aca="false">Charts_Snapshot!H53</f>
        <v>Traditional/established press</v>
      </c>
      <c r="F61" s="21" t="n">
        <f aca="false">Charts_Snapshot!J53</f>
        <v>8.54</v>
      </c>
      <c r="G61" s="22" t="n">
        <f aca="false">Charts_Snapshot!M53</f>
        <v>5349</v>
      </c>
      <c r="H61" s="20" t="n">
        <f aca="false">Charts_Snapshot!P53</f>
        <v>1.8</v>
      </c>
      <c r="I61" s="20" t="str">
        <f aca="false">Charts_Snapshot!N53</f>
        <v>N</v>
      </c>
      <c r="J61" s="6" t="n">
        <f aca="false">MIN(MATCH(G61,BSR_Table!$A$2:$A$14,1),12)</f>
        <v>7</v>
      </c>
      <c r="K61" s="8" t="n">
        <f aca="false">INDEX(BSR_Table!$A$2:$A$14,J61)</f>
        <v>5000</v>
      </c>
      <c r="L61" s="8" t="n">
        <f aca="false">INDEX(BSR_Table!$A$2:$A$14,J61+1)</f>
        <v>10000</v>
      </c>
      <c r="M61" s="23" t="n">
        <f aca="false">INDEX(BSR_Table!$B$2:$B$14,J61)</f>
        <v>30</v>
      </c>
      <c r="N61" s="23" t="n">
        <f aca="false">INDEX(BSR_Table!$B$2:$B$14,J61+1)</f>
        <v>20</v>
      </c>
      <c r="O61" s="10" t="n">
        <f aca="false">EXP(LN(M61)+(LN(G61)-LN(K61))*(LN(N61)-LN(M61))/(LN(L61)-LN(K61)))</f>
        <v>28.8390092489209</v>
      </c>
      <c r="P61" s="10" t="n">
        <f aca="false">O61*(1-$B$2)</f>
        <v>17.3034055493526</v>
      </c>
      <c r="Q61" s="10" t="n">
        <f aca="false">O61*(1+$B$2)</f>
        <v>40.3746129484893</v>
      </c>
      <c r="R61" s="7" t="n">
        <f aca="false">IF(AND(F61&gt;=$B$4,F61&lt;=$B$5),MAX(0.7*F61-$B$3*H61,0.35*F61),0.35*F61)</f>
        <v>5.708</v>
      </c>
      <c r="S61" s="8" t="n">
        <f aca="false">O61*$B$6</f>
        <v>865.170277467628</v>
      </c>
      <c r="T61" s="24" t="n">
        <f aca="false">S61*R61</f>
        <v>4938.39194378522</v>
      </c>
      <c r="U61" s="24" t="n">
        <f aca="false">P61*$B$6*R61</f>
        <v>2963.03516627113</v>
      </c>
      <c r="V61" s="24" t="n">
        <f aca="false">Q61*$B$6*R61</f>
        <v>6913.74872129931</v>
      </c>
      <c r="W61" s="6" t="s">
        <v>1160</v>
      </c>
    </row>
    <row r="62" customFormat="false" ht="15" hidden="false" customHeight="false" outlineLevel="0" collapsed="false">
      <c r="A62" s="20" t="str">
        <f aca="false">Charts_Snapshot!A54</f>
        <v>Self-Esteem|13</v>
      </c>
      <c r="B62" s="20" t="str">
        <f aca="false">Charts_Snapshot!B54</f>
        <v>Self-Esteem</v>
      </c>
      <c r="C62" s="20" t="n">
        <f aca="false">Charts_Snapshot!D54</f>
        <v>13</v>
      </c>
      <c r="D62" s="20" t="str">
        <f aca="false">Charts_Snapshot!E54</f>
        <v>Unfu*k Yourself: Get Out of Your Head and into Your Life – The New York Times Bestselling Tough-Love Self-Help Guide to Stop Self-Sabotage and Boost Resilience (Unfu*k Yourself series Book 1)</v>
      </c>
      <c r="E62" s="20" t="str">
        <f aca="false">Charts_Snapshot!H54</f>
        <v>Traditional/established press</v>
      </c>
      <c r="F62" s="21" t="n">
        <f aca="false">Charts_Snapshot!J54</f>
        <v>13.99</v>
      </c>
      <c r="G62" s="22" t="n">
        <f aca="false">Charts_Snapshot!M54</f>
        <v>7307</v>
      </c>
      <c r="H62" s="20" t="n">
        <f aca="false">Charts_Snapshot!P54</f>
        <v>2.1</v>
      </c>
      <c r="I62" s="20" t="str">
        <f aca="false">Charts_Snapshot!N54</f>
        <v>Y</v>
      </c>
      <c r="J62" s="6" t="n">
        <f aca="false">MIN(MATCH(G62,BSR_Table!$A$2:$A$14,1),12)</f>
        <v>7</v>
      </c>
      <c r="K62" s="8" t="n">
        <f aca="false">INDEX(BSR_Table!$A$2:$A$14,J62)</f>
        <v>5000</v>
      </c>
      <c r="L62" s="8" t="n">
        <f aca="false">INDEX(BSR_Table!$A$2:$A$14,J62+1)</f>
        <v>10000</v>
      </c>
      <c r="M62" s="23" t="n">
        <f aca="false">INDEX(BSR_Table!$B$2:$B$14,J62)</f>
        <v>30</v>
      </c>
      <c r="N62" s="23" t="n">
        <f aca="false">INDEX(BSR_Table!$B$2:$B$14,J62+1)</f>
        <v>20</v>
      </c>
      <c r="O62" s="10" t="n">
        <f aca="false">EXP(LN(M62)+(LN(G62)-LN(K62))*(LN(N62)-LN(M62))/(LN(L62)-LN(K62)))</f>
        <v>24.029100187757</v>
      </c>
      <c r="P62" s="10" t="n">
        <f aca="false">O62*(1-$B$2)</f>
        <v>14.4174601126542</v>
      </c>
      <c r="Q62" s="10" t="n">
        <f aca="false">O62*(1+$B$2)</f>
        <v>33.6407402628598</v>
      </c>
      <c r="R62" s="7" t="n">
        <f aca="false">IF(AND(F62&gt;=$B$4,F62&lt;=$B$5),MAX(0.7*F62-$B$3*H62,0.35*F62),0.35*F62)</f>
        <v>4.8965</v>
      </c>
      <c r="S62" s="8" t="n">
        <f aca="false">O62*$B$6</f>
        <v>720.87300563271</v>
      </c>
      <c r="T62" s="24" t="n">
        <f aca="false">S62*R62</f>
        <v>3529.75467208057</v>
      </c>
      <c r="U62" s="24" t="n">
        <f aca="false">P62*$B$6*R62</f>
        <v>2117.85280324834</v>
      </c>
      <c r="V62" s="24" t="n">
        <f aca="false">Q62*$B$6*R62</f>
        <v>4941.65654091279</v>
      </c>
      <c r="W62" s="6" t="s">
        <v>1160</v>
      </c>
    </row>
    <row r="63" customFormat="false" ht="15" hidden="false" customHeight="false" outlineLevel="0" collapsed="false">
      <c r="A63" s="20" t="str">
        <f aca="false">Charts_Snapshot!A55</f>
        <v>Self-Esteem|14</v>
      </c>
      <c r="B63" s="20" t="str">
        <f aca="false">Charts_Snapshot!B55</f>
        <v>Self-Esteem</v>
      </c>
      <c r="C63" s="20" t="n">
        <f aca="false">Charts_Snapshot!D55</f>
        <v>14</v>
      </c>
      <c r="D63" s="20" t="str">
        <f aca="false">Charts_Snapshot!E55</f>
        <v>Finding Me: An Inspiring Memoir of Overcoming Adversity, Embracing Authenticity, and Celebrating Self-Love</v>
      </c>
      <c r="E63" s="20" t="str">
        <f aca="false">Charts_Snapshot!H55</f>
        <v>Traditional/established press</v>
      </c>
      <c r="F63" s="21" t="n">
        <f aca="false">Charts_Snapshot!J55</f>
        <v>8.99</v>
      </c>
      <c r="G63" s="22" t="n">
        <f aca="false">Charts_Snapshot!M55</f>
        <v>7567</v>
      </c>
      <c r="H63" s="20" t="n">
        <f aca="false">Charts_Snapshot!P55</f>
        <v>11.1</v>
      </c>
      <c r="I63" s="20" t="str">
        <f aca="false">Charts_Snapshot!N55</f>
        <v>Y</v>
      </c>
      <c r="J63" s="6" t="n">
        <f aca="false">MIN(MATCH(G63,BSR_Table!$A$2:$A$14,1),12)</f>
        <v>7</v>
      </c>
      <c r="K63" s="8" t="n">
        <f aca="false">INDEX(BSR_Table!$A$2:$A$14,J63)</f>
        <v>5000</v>
      </c>
      <c r="L63" s="8" t="n">
        <f aca="false">INDEX(BSR_Table!$A$2:$A$14,J63+1)</f>
        <v>10000</v>
      </c>
      <c r="M63" s="23" t="n">
        <f aca="false">INDEX(BSR_Table!$B$2:$B$14,J63)</f>
        <v>30</v>
      </c>
      <c r="N63" s="23" t="n">
        <f aca="false">INDEX(BSR_Table!$B$2:$B$14,J63+1)</f>
        <v>20</v>
      </c>
      <c r="O63" s="10" t="n">
        <f aca="false">EXP(LN(M63)+(LN(G63)-LN(K63))*(LN(N63)-LN(M63))/(LN(L63)-LN(K63)))</f>
        <v>23.5426350843694</v>
      </c>
      <c r="P63" s="10" t="n">
        <f aca="false">O63*(1-$B$2)</f>
        <v>14.1255810506216</v>
      </c>
      <c r="Q63" s="10" t="n">
        <f aca="false">O63*(1+$B$2)</f>
        <v>32.9596891181171</v>
      </c>
      <c r="R63" s="7" t="n">
        <f aca="false">IF(AND(F63&gt;=$B$4,F63&lt;=$B$5),MAX(0.7*F63-$B$3*H63,0.35*F63),0.35*F63)</f>
        <v>4.628</v>
      </c>
      <c r="S63" s="8" t="n">
        <f aca="false">O63*$B$6</f>
        <v>706.279052531081</v>
      </c>
      <c r="T63" s="24" t="n">
        <f aca="false">S63*R63</f>
        <v>3268.65945511384</v>
      </c>
      <c r="U63" s="24" t="n">
        <f aca="false">P63*$B$6*R63</f>
        <v>1961.19567306831</v>
      </c>
      <c r="V63" s="24" t="n">
        <f aca="false">Q63*$B$6*R63</f>
        <v>4576.12323715938</v>
      </c>
      <c r="W63" s="6" t="s">
        <v>1160</v>
      </c>
    </row>
    <row r="64" customFormat="false" ht="15" hidden="false" customHeight="false" outlineLevel="0" collapsed="false">
      <c r="A64" s="20" t="str">
        <f aca="false">Charts_Snapshot!A56</f>
        <v>Self-Esteem|15</v>
      </c>
      <c r="B64" s="20" t="str">
        <f aca="false">Charts_Snapshot!B56</f>
        <v>Self-Esteem</v>
      </c>
      <c r="C64" s="20" t="n">
        <f aca="false">Charts_Snapshot!D56</f>
        <v>15</v>
      </c>
      <c r="D64" s="20" t="str">
        <f aca="false">Charts_Snapshot!E56</f>
        <v>Everything Is F*cked: Two Transformative Guides to Finding Happiness Amidst Life's Chaos (The Subtle Art of Not Giving a F*ck (2 Book Series))</v>
      </c>
      <c r="E64" s="20" t="str">
        <f aca="false">Charts_Snapshot!H56</f>
        <v>Traditional/established press</v>
      </c>
      <c r="F64" s="21" t="n">
        <f aca="false">Charts_Snapshot!J56</f>
        <v>13.49</v>
      </c>
      <c r="G64" s="22" t="n">
        <f aca="false">Charts_Snapshot!M56</f>
        <v>9373</v>
      </c>
      <c r="H64" s="20" t="n">
        <f aca="false">Charts_Snapshot!P56</f>
        <v>2.1</v>
      </c>
      <c r="I64" s="20" t="str">
        <f aca="false">Charts_Snapshot!N56</f>
        <v>Y</v>
      </c>
      <c r="J64" s="6" t="n">
        <f aca="false">MIN(MATCH(G64,BSR_Table!$A$2:$A$14,1),12)</f>
        <v>7</v>
      </c>
      <c r="K64" s="8" t="n">
        <f aca="false">INDEX(BSR_Table!$A$2:$A$14,J64)</f>
        <v>5000</v>
      </c>
      <c r="L64" s="8" t="n">
        <f aca="false">INDEX(BSR_Table!$A$2:$A$14,J64+1)</f>
        <v>10000</v>
      </c>
      <c r="M64" s="23" t="n">
        <f aca="false">INDEX(BSR_Table!$B$2:$B$14,J64)</f>
        <v>30</v>
      </c>
      <c r="N64" s="23" t="n">
        <f aca="false">INDEX(BSR_Table!$B$2:$B$14,J64+1)</f>
        <v>20</v>
      </c>
      <c r="O64" s="10" t="n">
        <f aca="false">EXP(LN(M64)+(LN(G64)-LN(K64))*(LN(N64)-LN(M64))/(LN(L64)-LN(K64)))</f>
        <v>20.7720782607885</v>
      </c>
      <c r="P64" s="10" t="n">
        <f aca="false">O64*(1-$B$2)</f>
        <v>12.4632469564731</v>
      </c>
      <c r="Q64" s="10" t="n">
        <f aca="false">O64*(1+$B$2)</f>
        <v>29.0809095651038</v>
      </c>
      <c r="R64" s="7" t="n">
        <f aca="false">IF(AND(F64&gt;=$B$4,F64&lt;=$B$5),MAX(0.7*F64-$B$3*H64,0.35*F64),0.35*F64)</f>
        <v>4.7215</v>
      </c>
      <c r="S64" s="8" t="n">
        <f aca="false">O64*$B$6</f>
        <v>623.162347823654</v>
      </c>
      <c r="T64" s="24" t="n">
        <f aca="false">S64*R64</f>
        <v>2942.26102524938</v>
      </c>
      <c r="U64" s="24" t="n">
        <f aca="false">P64*$B$6*R64</f>
        <v>1765.35661514963</v>
      </c>
      <c r="V64" s="24" t="n">
        <f aca="false">Q64*$B$6*R64</f>
        <v>4119.16543534913</v>
      </c>
      <c r="W64" s="6" t="s">
        <v>1160</v>
      </c>
    </row>
    <row r="65" customFormat="false" ht="15" hidden="false" customHeight="false" outlineLevel="0" collapsed="false">
      <c r="A65" s="20" t="str">
        <f aca="false">Charts_Snapshot!A57</f>
        <v>Self-Esteem|16</v>
      </c>
      <c r="B65" s="20" t="str">
        <f aca="false">Charts_Snapshot!B57</f>
        <v>Self-Esteem</v>
      </c>
      <c r="C65" s="20" t="n">
        <f aca="false">Charts_Snapshot!D57</f>
        <v>16</v>
      </c>
      <c r="D65" s="20" t="str">
        <f aca="false">Charts_Snapshot!E57</f>
        <v>Too Sensitive: Rejection, Resilience, and the Science of Feeling Deeply</v>
      </c>
      <c r="E65" s="20" t="str">
        <f aca="false">Charts_Snapshot!H57</f>
        <v>Traditional/established press</v>
      </c>
      <c r="F65" s="21" t="n">
        <f aca="false">Charts_Snapshot!J57</f>
        <v>15.99</v>
      </c>
      <c r="G65" s="22" t="n">
        <f aca="false">Charts_Snapshot!M57</f>
        <v>9843</v>
      </c>
      <c r="H65" s="20" t="n">
        <f aca="false">Charts_Snapshot!P57</f>
        <v>2.8</v>
      </c>
      <c r="I65" s="20" t="str">
        <f aca="false">Charts_Snapshot!N57</f>
        <v>N</v>
      </c>
      <c r="J65" s="6" t="n">
        <f aca="false">MIN(MATCH(G65,BSR_Table!$A$2:$A$14,1),12)</f>
        <v>7</v>
      </c>
      <c r="K65" s="8" t="n">
        <f aca="false">INDEX(BSR_Table!$A$2:$A$14,J65)</f>
        <v>5000</v>
      </c>
      <c r="L65" s="8" t="n">
        <f aca="false">INDEX(BSR_Table!$A$2:$A$14,J65+1)</f>
        <v>10000</v>
      </c>
      <c r="M65" s="23" t="n">
        <f aca="false">INDEX(BSR_Table!$B$2:$B$14,J65)</f>
        <v>30</v>
      </c>
      <c r="N65" s="23" t="n">
        <f aca="false">INDEX(BSR_Table!$B$2:$B$14,J65+1)</f>
        <v>20</v>
      </c>
      <c r="O65" s="10" t="n">
        <f aca="false">EXP(LN(M65)+(LN(G65)-LN(K65))*(LN(N65)-LN(M65))/(LN(L65)-LN(K65)))</f>
        <v>20.1859948986164</v>
      </c>
      <c r="P65" s="10" t="n">
        <f aca="false">O65*(1-$B$2)</f>
        <v>12.1115969391699</v>
      </c>
      <c r="Q65" s="10" t="n">
        <f aca="false">O65*(1+$B$2)</f>
        <v>28.260392858063</v>
      </c>
      <c r="R65" s="7" t="n">
        <f aca="false">IF(AND(F65&gt;=$B$4,F65&lt;=$B$5),MAX(0.7*F65-$B$3*H65,0.35*F65),0.35*F65)</f>
        <v>5.5965</v>
      </c>
      <c r="S65" s="8" t="n">
        <f aca="false">O65*$B$6</f>
        <v>605.579846958493</v>
      </c>
      <c r="T65" s="24" t="n">
        <f aca="false">S65*R65</f>
        <v>3389.12761350321</v>
      </c>
      <c r="U65" s="24" t="n">
        <f aca="false">P65*$B$6*R65</f>
        <v>2033.47656810192</v>
      </c>
      <c r="V65" s="24" t="n">
        <f aca="false">Q65*$B$6*R65</f>
        <v>4744.77865890449</v>
      </c>
      <c r="W65" s="6" t="s">
        <v>1160</v>
      </c>
    </row>
    <row r="66" customFormat="false" ht="15" hidden="false" customHeight="false" outlineLevel="0" collapsed="false">
      <c r="A66" s="20" t="str">
        <f aca="false">Charts_Snapshot!A58</f>
        <v>Self-Esteem|17</v>
      </c>
      <c r="B66" s="20" t="str">
        <f aca="false">Charts_Snapshot!B58</f>
        <v>Self-Esteem</v>
      </c>
      <c r="C66" s="20" t="n">
        <f aca="false">Charts_Snapshot!D58</f>
        <v>17</v>
      </c>
      <c r="D66" s="20" t="str">
        <f aca="false">Charts_Snapshot!E58</f>
        <v>I Choose Me: Chasing Joy, Finding Purpose &amp; Embracing Reinvention – A Heartfelt Celebrity Memoir and Inspirational Guide to Happiness and Aging with Confidence</v>
      </c>
      <c r="E66" s="20" t="str">
        <f aca="false">Charts_Snapshot!H58</f>
        <v>Traditional/established press</v>
      </c>
      <c r="F66" s="21" t="n">
        <f aca="false">Charts_Snapshot!J58</f>
        <v>2.99</v>
      </c>
      <c r="G66" s="22" t="n">
        <f aca="false">Charts_Snapshot!M58</f>
        <v>9916</v>
      </c>
      <c r="H66" s="20" t="n">
        <f aca="false">Charts_Snapshot!P58</f>
        <v>3.5</v>
      </c>
      <c r="I66" s="20" t="str">
        <f aca="false">Charts_Snapshot!N58</f>
        <v>N</v>
      </c>
      <c r="J66" s="6" t="n">
        <f aca="false">MIN(MATCH(G66,BSR_Table!$A$2:$A$14,1),12)</f>
        <v>7</v>
      </c>
      <c r="K66" s="8" t="n">
        <f aca="false">INDEX(BSR_Table!$A$2:$A$14,J66)</f>
        <v>5000</v>
      </c>
      <c r="L66" s="8" t="n">
        <f aca="false">INDEX(BSR_Table!$A$2:$A$14,J66+1)</f>
        <v>10000</v>
      </c>
      <c r="M66" s="23" t="n">
        <f aca="false">INDEX(BSR_Table!$B$2:$B$14,J66)</f>
        <v>30</v>
      </c>
      <c r="N66" s="23" t="n">
        <f aca="false">INDEX(BSR_Table!$B$2:$B$14,J66+1)</f>
        <v>20</v>
      </c>
      <c r="O66" s="10" t="n">
        <f aca="false">EXP(LN(M66)+(LN(G66)-LN(K66))*(LN(N66)-LN(M66))/(LN(L66)-LN(K66)))</f>
        <v>20.0989326635656</v>
      </c>
      <c r="P66" s="10" t="n">
        <f aca="false">O66*(1-$B$2)</f>
        <v>12.0593595981394</v>
      </c>
      <c r="Q66" s="10" t="n">
        <f aca="false">O66*(1+$B$2)</f>
        <v>28.1385057289919</v>
      </c>
      <c r="R66" s="7" t="n">
        <f aca="false">IF(AND(F66&gt;=$B$4,F66&lt;=$B$5),MAX(0.7*F66-$B$3*H66,0.35*F66),0.35*F66)</f>
        <v>1.568</v>
      </c>
      <c r="S66" s="8" t="n">
        <f aca="false">O66*$B$6</f>
        <v>602.967979906969</v>
      </c>
      <c r="T66" s="24" t="n">
        <f aca="false">S66*R66</f>
        <v>945.453792494128</v>
      </c>
      <c r="U66" s="24" t="n">
        <f aca="false">P66*$B$6*R66</f>
        <v>567.272275496477</v>
      </c>
      <c r="V66" s="24" t="n">
        <f aca="false">Q66*$B$6*R66</f>
        <v>1323.63530949178</v>
      </c>
      <c r="W66" s="6" t="s">
        <v>1160</v>
      </c>
    </row>
    <row r="67" customFormat="false" ht="15" hidden="false" customHeight="false" outlineLevel="0" collapsed="false">
      <c r="A67" s="20" t="str">
        <f aca="false">Charts_Snapshot!A59</f>
        <v>Self-Esteem|18</v>
      </c>
      <c r="B67" s="20" t="str">
        <f aca="false">Charts_Snapshot!B59</f>
        <v>Self-Esteem</v>
      </c>
      <c r="C67" s="20" t="n">
        <f aca="false">Charts_Snapshot!D59</f>
        <v>18</v>
      </c>
      <c r="D67" s="20" t="str">
        <f aca="false">Charts_Snapshot!E59</f>
        <v>Decluttering at the Speed of Life: Winning Your Never-Ending Battle with Stuff</v>
      </c>
      <c r="E67" s="20" t="str">
        <f aca="false">Charts_Snapshot!H59</f>
        <v>Traditional/established press</v>
      </c>
      <c r="F67" s="21" t="n">
        <f aca="false">Charts_Snapshot!J59</f>
        <v>2.99</v>
      </c>
      <c r="G67" s="22" t="n">
        <f aca="false">Charts_Snapshot!M59</f>
        <v>10396</v>
      </c>
      <c r="H67" s="20" t="n">
        <f aca="false">Charts_Snapshot!P59</f>
        <v>2.4</v>
      </c>
      <c r="I67" s="20" t="str">
        <f aca="false">Charts_Snapshot!N59</f>
        <v>Y</v>
      </c>
      <c r="J67" s="6" t="n">
        <f aca="false">MIN(MATCH(G67,BSR_Table!$A$2:$A$14,1),12)</f>
        <v>8</v>
      </c>
      <c r="K67" s="8" t="n">
        <f aca="false">INDEX(BSR_Table!$A$2:$A$14,J67)</f>
        <v>10000</v>
      </c>
      <c r="L67" s="8" t="n">
        <f aca="false">INDEX(BSR_Table!$A$2:$A$14,J67+1)</f>
        <v>20000</v>
      </c>
      <c r="M67" s="23" t="n">
        <f aca="false">INDEX(BSR_Table!$B$2:$B$14,J67)</f>
        <v>20</v>
      </c>
      <c r="N67" s="23" t="n">
        <f aca="false">INDEX(BSR_Table!$B$2:$B$14,J67+1)</f>
        <v>10</v>
      </c>
      <c r="O67" s="10" t="n">
        <f aca="false">EXP(LN(M67)+(LN(G67)-LN(K67))*(LN(N67)-LN(M67))/(LN(L67)-LN(K67)))</f>
        <v>19.2381685263563</v>
      </c>
      <c r="P67" s="10" t="n">
        <f aca="false">O67*(1-$B$2)</f>
        <v>11.5429011158138</v>
      </c>
      <c r="Q67" s="10" t="n">
        <f aca="false">O67*(1+$B$2)</f>
        <v>26.9334359368988</v>
      </c>
      <c r="R67" s="7" t="n">
        <f aca="false">IF(AND(F67&gt;=$B$4,F67&lt;=$B$5),MAX(0.7*F67-$B$3*H67,0.35*F67),0.35*F67)</f>
        <v>1.733</v>
      </c>
      <c r="S67" s="8" t="n">
        <f aca="false">O67*$B$6</f>
        <v>577.145055790689</v>
      </c>
      <c r="T67" s="24" t="n">
        <f aca="false">S67*R67</f>
        <v>1000.19238168526</v>
      </c>
      <c r="U67" s="24" t="n">
        <f aca="false">P67*$B$6*R67</f>
        <v>600.115429011158</v>
      </c>
      <c r="V67" s="24" t="n">
        <f aca="false">Q67*$B$6*R67</f>
        <v>1400.26933435937</v>
      </c>
      <c r="W67" s="6" t="s">
        <v>1160</v>
      </c>
    </row>
    <row r="68" customFormat="false" ht="15" hidden="false" customHeight="false" outlineLevel="0" collapsed="false">
      <c r="A68" s="20" t="str">
        <f aca="false">Charts_Snapshot!A60</f>
        <v>Self-Esteem|19</v>
      </c>
      <c r="B68" s="20" t="str">
        <f aca="false">Charts_Snapshot!B60</f>
        <v>Self-Esteem</v>
      </c>
      <c r="C68" s="20" t="n">
        <f aca="false">Charts_Snapshot!D60</f>
        <v>19</v>
      </c>
      <c r="D68" s="20" t="str">
        <f aca="false">Charts_Snapshot!E60</f>
        <v>Let Them Go: Mastering the Art of Emotional Detachment (The Let Them Emotional Detachment Series Book 1)</v>
      </c>
      <c r="E68" s="20" t="str">
        <f aca="false">Charts_Snapshot!H60</f>
        <v>Indie (no publisher listed)</v>
      </c>
      <c r="F68" s="21" t="n">
        <f aca="false">Charts_Snapshot!J60</f>
        <v>5.99</v>
      </c>
      <c r="G68" s="22" t="n">
        <f aca="false">Charts_Snapshot!M60</f>
        <v>10862</v>
      </c>
      <c r="H68" s="20" t="n">
        <f aca="false">Charts_Snapshot!P60</f>
        <v>2</v>
      </c>
      <c r="I68" s="20" t="str">
        <f aca="false">Charts_Snapshot!N60</f>
        <v>Y</v>
      </c>
      <c r="J68" s="6" t="n">
        <f aca="false">MIN(MATCH(G68,BSR_Table!$A$2:$A$14,1),12)</f>
        <v>8</v>
      </c>
      <c r="K68" s="8" t="n">
        <f aca="false">INDEX(BSR_Table!$A$2:$A$14,J68)</f>
        <v>10000</v>
      </c>
      <c r="L68" s="8" t="n">
        <f aca="false">INDEX(BSR_Table!$A$2:$A$14,J68+1)</f>
        <v>20000</v>
      </c>
      <c r="M68" s="23" t="n">
        <f aca="false">INDEX(BSR_Table!$B$2:$B$14,J68)</f>
        <v>20</v>
      </c>
      <c r="N68" s="23" t="n">
        <f aca="false">INDEX(BSR_Table!$B$2:$B$14,J68+1)</f>
        <v>10</v>
      </c>
      <c r="O68" s="10" t="n">
        <f aca="false">EXP(LN(M68)+(LN(G68)-LN(K68))*(LN(N68)-LN(M68))/(LN(L68)-LN(K68)))</f>
        <v>18.4128153194624</v>
      </c>
      <c r="P68" s="10" t="n">
        <f aca="false">O68*(1-$B$2)</f>
        <v>11.0476891916774</v>
      </c>
      <c r="Q68" s="10" t="n">
        <f aca="false">O68*(1+$B$2)</f>
        <v>25.7779414472473</v>
      </c>
      <c r="R68" s="7" t="n">
        <f aca="false">IF(AND(F68&gt;=$B$4,F68&lt;=$B$5),MAX(0.7*F68-$B$3*H68,0.35*F68),0.35*F68)</f>
        <v>3.893</v>
      </c>
      <c r="S68" s="8" t="n">
        <f aca="false">O68*$B$6</f>
        <v>552.384459583871</v>
      </c>
      <c r="T68" s="24" t="n">
        <f aca="false">S68*R68</f>
        <v>2150.43270116001</v>
      </c>
      <c r="U68" s="24" t="n">
        <f aca="false">P68*$B$6*R68</f>
        <v>1290.25962069601</v>
      </c>
      <c r="V68" s="24" t="n">
        <f aca="false">Q68*$B$6*R68</f>
        <v>3010.60578162401</v>
      </c>
      <c r="W68" s="6" t="s">
        <v>1160</v>
      </c>
    </row>
    <row r="69" customFormat="false" ht="15" hidden="false" customHeight="false" outlineLevel="0" collapsed="false">
      <c r="A69" s="20" t="str">
        <f aca="false">Charts_Snapshot!A61</f>
        <v>Self-Esteem|20</v>
      </c>
      <c r="B69" s="20" t="str">
        <f aca="false">Charts_Snapshot!B61</f>
        <v>Self-Esteem</v>
      </c>
      <c r="C69" s="20" t="n">
        <f aca="false">Charts_Snapshot!D61</f>
        <v>20</v>
      </c>
      <c r="D69" s="20" t="str">
        <f aca="false">Charts_Snapshot!E61</f>
        <v>Why Has Nobody Told Me This Before?: An International Bestselling Guide to Mental Health and Emotional Resilience from a Clinical Psychologist</v>
      </c>
      <c r="E69" s="20" t="str">
        <f aca="false">Charts_Snapshot!H61</f>
        <v>Traditional/established press</v>
      </c>
      <c r="F69" s="21" t="n">
        <f aca="false">Charts_Snapshot!J61</f>
        <v>11.99</v>
      </c>
      <c r="G69" s="22" t="n">
        <f aca="false">Charts_Snapshot!M61</f>
        <v>11053</v>
      </c>
      <c r="H69" s="20" t="n">
        <f aca="false">Charts_Snapshot!P61</f>
        <v>5.6</v>
      </c>
      <c r="I69" s="20" t="str">
        <f aca="false">Charts_Snapshot!N61</f>
        <v>Y</v>
      </c>
      <c r="J69" s="6" t="n">
        <f aca="false">MIN(MATCH(G69,BSR_Table!$A$2:$A$14,1),12)</f>
        <v>8</v>
      </c>
      <c r="K69" s="8" t="n">
        <f aca="false">INDEX(BSR_Table!$A$2:$A$14,J69)</f>
        <v>10000</v>
      </c>
      <c r="L69" s="8" t="n">
        <f aca="false">INDEX(BSR_Table!$A$2:$A$14,J69+1)</f>
        <v>20000</v>
      </c>
      <c r="M69" s="23" t="n">
        <f aca="false">INDEX(BSR_Table!$B$2:$B$14,J69)</f>
        <v>20</v>
      </c>
      <c r="N69" s="23" t="n">
        <f aca="false">INDEX(BSR_Table!$B$2:$B$14,J69+1)</f>
        <v>10</v>
      </c>
      <c r="O69" s="10" t="n">
        <f aca="false">EXP(LN(M69)+(LN(G69)-LN(K69))*(LN(N69)-LN(M69))/(LN(L69)-LN(K69)))</f>
        <v>18.0946349407401</v>
      </c>
      <c r="P69" s="10" t="n">
        <f aca="false">O69*(1-$B$2)</f>
        <v>10.856780964444</v>
      </c>
      <c r="Q69" s="10" t="n">
        <f aca="false">O69*(1+$B$2)</f>
        <v>25.3324889170361</v>
      </c>
      <c r="R69" s="7" t="n">
        <f aca="false">IF(AND(F69&gt;=$B$4,F69&lt;=$B$5),MAX(0.7*F69-$B$3*H69,0.35*F69),0.35*F69)</f>
        <v>7.553</v>
      </c>
      <c r="S69" s="8" t="n">
        <f aca="false">O69*$B$6</f>
        <v>542.839048222203</v>
      </c>
      <c r="T69" s="24" t="n">
        <f aca="false">S69*R69</f>
        <v>4100.06333122229</v>
      </c>
      <c r="U69" s="24" t="n">
        <f aca="false">P69*$B$6*R69</f>
        <v>2460.03799873338</v>
      </c>
      <c r="V69" s="24" t="n">
        <f aca="false">Q69*$B$6*R69</f>
        <v>5740.08866371121</v>
      </c>
      <c r="W69" s="6" t="s">
        <v>1160</v>
      </c>
    </row>
    <row r="70" customFormat="false" ht="15" hidden="false" customHeight="false" outlineLevel="0" collapsed="false">
      <c r="A70" s="20" t="str">
        <f aca="false">Charts_Snapshot!A62</f>
        <v>Motivational|1</v>
      </c>
      <c r="B70" s="20" t="str">
        <f aca="false">Charts_Snapshot!B62</f>
        <v>Motivational</v>
      </c>
      <c r="C70" s="20" t="n">
        <f aca="false">Charts_Snapshot!D62</f>
        <v>1</v>
      </c>
      <c r="D70" s="20" t="str">
        <f aca="false">Charts_Snapshot!E62</f>
        <v>The Courage to Be Disliked: The Japanese Phenomenon That Shows You How to Change Your Life and Achieve Real Happiness</v>
      </c>
      <c r="E70" s="20" t="str">
        <f aca="false">Charts_Snapshot!H62</f>
        <v>Traditional/established press</v>
      </c>
      <c r="F70" s="21" t="n">
        <f aca="false">Charts_Snapshot!J62</f>
        <v>2.99</v>
      </c>
      <c r="G70" s="22" t="n">
        <f aca="false">Charts_Snapshot!M62</f>
        <v>225</v>
      </c>
      <c r="H70" s="20" t="n">
        <f aca="false">Charts_Snapshot!P62</f>
        <v>2.6</v>
      </c>
      <c r="I70" s="20" t="str">
        <f aca="false">Charts_Snapshot!N62</f>
        <v>Y</v>
      </c>
      <c r="J70" s="6" t="n">
        <f aca="false">MIN(MATCH(G70,BSR_Table!$A$2:$A$14,1),12)</f>
        <v>2</v>
      </c>
      <c r="K70" s="8" t="n">
        <f aca="false">INDEX(BSR_Table!$A$2:$A$14,J70)</f>
        <v>100</v>
      </c>
      <c r="L70" s="8" t="n">
        <f aca="false">INDEX(BSR_Table!$A$2:$A$14,J70+1)</f>
        <v>250</v>
      </c>
      <c r="M70" s="23" t="n">
        <f aca="false">INDEX(BSR_Table!$B$2:$B$14,J70)</f>
        <v>1000</v>
      </c>
      <c r="N70" s="23" t="n">
        <f aca="false">INDEX(BSR_Table!$B$2:$B$14,J70+1)</f>
        <v>500</v>
      </c>
      <c r="O70" s="10" t="n">
        <f aca="false">EXP(LN(M70)+(LN(G70)-LN(K70))*(LN(N70)-LN(M70))/(LN(L70)-LN(K70)))</f>
        <v>541.482231116177</v>
      </c>
      <c r="P70" s="10" t="n">
        <f aca="false">O70*(1-$B$2)</f>
        <v>324.889338669706</v>
      </c>
      <c r="Q70" s="10" t="n">
        <f aca="false">O70*(1+$B$2)</f>
        <v>758.075123562648</v>
      </c>
      <c r="R70" s="7" t="n">
        <f aca="false">IF(AND(F70&gt;=$B$4,F70&lt;=$B$5),MAX(0.7*F70-$B$3*H70,0.35*F70),0.35*F70)</f>
        <v>1.703</v>
      </c>
      <c r="S70" s="8" t="n">
        <f aca="false">O70*$B$6</f>
        <v>16244.4669334853</v>
      </c>
      <c r="T70" s="24" t="n">
        <f aca="false">S70*R70</f>
        <v>27664.3271877255</v>
      </c>
      <c r="U70" s="24" t="n">
        <f aca="false">P70*$B$6*R70</f>
        <v>16598.5963126353</v>
      </c>
      <c r="V70" s="24" t="n">
        <f aca="false">Q70*$B$6*R70</f>
        <v>38730.0580628157</v>
      </c>
      <c r="W70" s="6" t="s">
        <v>1160</v>
      </c>
    </row>
    <row r="71" customFormat="false" ht="15" hidden="false" customHeight="false" outlineLevel="0" collapsed="false">
      <c r="A71" s="20" t="str">
        <f aca="false">Charts_Snapshot!A63</f>
        <v>Motivational|2</v>
      </c>
      <c r="B71" s="20" t="str">
        <f aca="false">Charts_Snapshot!B63</f>
        <v>Motivational</v>
      </c>
      <c r="C71" s="20" t="n">
        <f aca="false">Charts_Snapshot!D63</f>
        <v>2</v>
      </c>
      <c r="D71" s="20" t="str">
        <f aca="false">Charts_Snapshot!E63</f>
        <v>Man's Search for Meaning</v>
      </c>
      <c r="E71" s="20" t="str">
        <f aca="false">Charts_Snapshot!H63</f>
        <v>Traditional/established press</v>
      </c>
      <c r="F71" s="21" t="n">
        <f aca="false">Charts_Snapshot!J63</f>
        <v>2.99</v>
      </c>
      <c r="G71" s="22" t="n">
        <f aca="false">Charts_Snapshot!M63</f>
        <v>508</v>
      </c>
      <c r="H71" s="20" t="n">
        <f aca="false">Charts_Snapshot!P63</f>
        <v>3.8</v>
      </c>
      <c r="I71" s="20" t="str">
        <f aca="false">Charts_Snapshot!N63</f>
        <v>N</v>
      </c>
      <c r="J71" s="6" t="n">
        <f aca="false">MIN(MATCH(G71,BSR_Table!$A$2:$A$14,1),12)</f>
        <v>4</v>
      </c>
      <c r="K71" s="8" t="n">
        <f aca="false">INDEX(BSR_Table!$A$2:$A$14,J71)</f>
        <v>500</v>
      </c>
      <c r="L71" s="8" t="n">
        <f aca="false">INDEX(BSR_Table!$A$2:$A$14,J71+1)</f>
        <v>1000</v>
      </c>
      <c r="M71" s="23" t="n">
        <f aca="false">INDEX(BSR_Table!$B$2:$B$14,J71)</f>
        <v>280</v>
      </c>
      <c r="N71" s="23" t="n">
        <f aca="false">INDEX(BSR_Table!$B$2:$B$14,J71+1)</f>
        <v>120</v>
      </c>
      <c r="O71" s="10" t="n">
        <f aca="false">EXP(LN(M71)+(LN(G71)-LN(K71))*(LN(N71)-LN(M71))/(LN(L71)-LN(K71)))</f>
        <v>274.619400660565</v>
      </c>
      <c r="P71" s="10" t="n">
        <f aca="false">O71*(1-$B$2)</f>
        <v>164.771640396339</v>
      </c>
      <c r="Q71" s="10" t="n">
        <f aca="false">O71*(1+$B$2)</f>
        <v>384.467160924791</v>
      </c>
      <c r="R71" s="7" t="n">
        <f aca="false">IF(AND(F71&gt;=$B$4,F71&lt;=$B$5),MAX(0.7*F71-$B$3*H71,0.35*F71),0.35*F71)</f>
        <v>1.523</v>
      </c>
      <c r="S71" s="8" t="n">
        <f aca="false">O71*$B$6</f>
        <v>8238.58201981694</v>
      </c>
      <c r="T71" s="24" t="n">
        <f aca="false">S71*R71</f>
        <v>12547.3604161812</v>
      </c>
      <c r="U71" s="24" t="n">
        <f aca="false">P71*$B$6*R71</f>
        <v>7528.41624970872</v>
      </c>
      <c r="V71" s="24" t="n">
        <f aca="false">Q71*$B$6*R71</f>
        <v>17566.3045826537</v>
      </c>
      <c r="W71" s="6" t="s">
        <v>1160</v>
      </c>
    </row>
    <row r="72" customFormat="false" ht="15" hidden="false" customHeight="false" outlineLevel="0" collapsed="false">
      <c r="A72" s="20" t="str">
        <f aca="false">Charts_Snapshot!A64</f>
        <v>Motivational|3</v>
      </c>
      <c r="B72" s="20" t="str">
        <f aca="false">Charts_Snapshot!B64</f>
        <v>Motivational</v>
      </c>
      <c r="C72" s="20" t="n">
        <f aca="false">Charts_Snapshot!D64</f>
        <v>3</v>
      </c>
      <c r="D72" s="20" t="str">
        <f aca="false">Charts_Snapshot!E64</f>
        <v>The Steps: A Memoir</v>
      </c>
      <c r="E72" s="20" t="str">
        <f aca="false">Charts_Snapshot!H64</f>
        <v>Traditional/established press</v>
      </c>
      <c r="F72" s="21" t="n">
        <f aca="false">Charts_Snapshot!J64</f>
        <v>14.99</v>
      </c>
      <c r="G72" s="22" t="n">
        <f aca="false">Charts_Snapshot!M64</f>
        <v>519</v>
      </c>
      <c r="H72" s="20" t="n">
        <f aca="false">Charts_Snapshot!P64</f>
        <v>31.5</v>
      </c>
      <c r="I72" s="20" t="str">
        <f aca="false">Charts_Snapshot!N64</f>
        <v>N</v>
      </c>
      <c r="J72" s="6" t="n">
        <f aca="false">MIN(MATCH(G72,BSR_Table!$A$2:$A$14,1),12)</f>
        <v>4</v>
      </c>
      <c r="K72" s="8" t="n">
        <f aca="false">INDEX(BSR_Table!$A$2:$A$14,J72)</f>
        <v>500</v>
      </c>
      <c r="L72" s="8" t="n">
        <f aca="false">INDEX(BSR_Table!$A$2:$A$14,J72+1)</f>
        <v>1000</v>
      </c>
      <c r="M72" s="23" t="n">
        <f aca="false">INDEX(BSR_Table!$B$2:$B$14,J72)</f>
        <v>280</v>
      </c>
      <c r="N72" s="23" t="n">
        <f aca="false">INDEX(BSR_Table!$B$2:$B$14,J72+1)</f>
        <v>120</v>
      </c>
      <c r="O72" s="10" t="n">
        <f aca="false">EXP(LN(M72)+(LN(G72)-LN(K72))*(LN(N72)-LN(M72))/(LN(L72)-LN(K72)))</f>
        <v>267.521388072432</v>
      </c>
      <c r="P72" s="10" t="n">
        <f aca="false">O72*(1-$B$2)</f>
        <v>160.512832843459</v>
      </c>
      <c r="Q72" s="10" t="n">
        <f aca="false">O72*(1+$B$2)</f>
        <v>374.529943301405</v>
      </c>
      <c r="R72" s="7" t="n">
        <f aca="false">IF(AND(F72&gt;=$B$4,F72&lt;=$B$5),MAX(0.7*F72-$B$3*H72,0.35*F72),0.35*F72)</f>
        <v>5.2465</v>
      </c>
      <c r="S72" s="8" t="n">
        <f aca="false">O72*$B$6</f>
        <v>8025.64164217296</v>
      </c>
      <c r="T72" s="24" t="n">
        <f aca="false">S72*R72</f>
        <v>42106.5288756604</v>
      </c>
      <c r="U72" s="24" t="n">
        <f aca="false">P72*$B$6*R72</f>
        <v>25263.9173253963</v>
      </c>
      <c r="V72" s="24" t="n">
        <f aca="false">Q72*$B$6*R72</f>
        <v>58949.1404259246</v>
      </c>
      <c r="W72" s="6" t="s">
        <v>1160</v>
      </c>
    </row>
    <row r="73" customFormat="false" ht="15" hidden="false" customHeight="false" outlineLevel="0" collapsed="false">
      <c r="A73" s="20" t="str">
        <f aca="false">Charts_Snapshot!A65</f>
        <v>Motivational|4</v>
      </c>
      <c r="B73" s="20" t="str">
        <f aca="false">Charts_Snapshot!B65</f>
        <v>Motivational</v>
      </c>
      <c r="C73" s="20" t="n">
        <f aca="false">Charts_Snapshot!D65</f>
        <v>4</v>
      </c>
      <c r="D73" s="20" t="str">
        <f aca="false">Charts_Snapshot!E65</f>
        <v>Forgiving What You Can't Forget: Discover How to Move On, Make Peace with Painful Memories, and Create a Life That’s Beautiful Again</v>
      </c>
      <c r="E73" s="20" t="str">
        <f aca="false">Charts_Snapshot!H65</f>
        <v>Traditional/established press</v>
      </c>
      <c r="F73" s="21" t="n">
        <f aca="false">Charts_Snapshot!J65</f>
        <v>3.99</v>
      </c>
      <c r="G73" s="22" t="n">
        <f aca="false">Charts_Snapshot!M65</f>
        <v>872</v>
      </c>
      <c r="H73" s="20" t="n">
        <f aca="false">Charts_Snapshot!P65</f>
        <v>16.2</v>
      </c>
      <c r="I73" s="20" t="str">
        <f aca="false">Charts_Snapshot!N65</f>
        <v>Y</v>
      </c>
      <c r="J73" s="6" t="n">
        <f aca="false">MIN(MATCH(G73,BSR_Table!$A$2:$A$14,1),12)</f>
        <v>4</v>
      </c>
      <c r="K73" s="8" t="n">
        <f aca="false">INDEX(BSR_Table!$A$2:$A$14,J73)</f>
        <v>500</v>
      </c>
      <c r="L73" s="8" t="n">
        <f aca="false">INDEX(BSR_Table!$A$2:$A$14,J73+1)</f>
        <v>1000</v>
      </c>
      <c r="M73" s="23" t="n">
        <f aca="false">INDEX(BSR_Table!$B$2:$B$14,J73)</f>
        <v>280</v>
      </c>
      <c r="N73" s="23" t="n">
        <f aca="false">INDEX(BSR_Table!$B$2:$B$14,J73+1)</f>
        <v>120</v>
      </c>
      <c r="O73" s="10" t="n">
        <f aca="false">EXP(LN(M73)+(LN(G73)-LN(K73))*(LN(N73)-LN(M73))/(LN(L73)-LN(K73)))</f>
        <v>141.870939279186</v>
      </c>
      <c r="P73" s="10" t="n">
        <f aca="false">O73*(1-$B$2)</f>
        <v>85.1225635675116</v>
      </c>
      <c r="Q73" s="10" t="n">
        <f aca="false">O73*(1+$B$2)</f>
        <v>198.61931499086</v>
      </c>
      <c r="R73" s="7" t="n">
        <f aca="false">IF(AND(F73&gt;=$B$4,F73&lt;=$B$5),MAX(0.7*F73-$B$3*H73,0.35*F73),0.35*F73)</f>
        <v>1.3965</v>
      </c>
      <c r="S73" s="8" t="n">
        <f aca="false">O73*$B$6</f>
        <v>4256.12817837558</v>
      </c>
      <c r="T73" s="24" t="n">
        <f aca="false">S73*R73</f>
        <v>5943.68300110149</v>
      </c>
      <c r="U73" s="24" t="n">
        <f aca="false">P73*$B$6*R73</f>
        <v>3566.2098006609</v>
      </c>
      <c r="V73" s="24" t="n">
        <f aca="false">Q73*$B$6*R73</f>
        <v>8321.15620154209</v>
      </c>
      <c r="W73" s="6" t="s">
        <v>1160</v>
      </c>
    </row>
    <row r="74" customFormat="false" ht="15" hidden="false" customHeight="false" outlineLevel="0" collapsed="false">
      <c r="A74" s="20" t="str">
        <f aca="false">Charts_Snapshot!A66</f>
        <v>Motivational|5</v>
      </c>
      <c r="B74" s="20" t="str">
        <f aca="false">Charts_Snapshot!B66</f>
        <v>Motivational</v>
      </c>
      <c r="C74" s="20" t="n">
        <f aca="false">Charts_Snapshot!D66</f>
        <v>5</v>
      </c>
      <c r="D74" s="20" t="str">
        <f aca="false">Charts_Snapshot!E66</f>
        <v>The Comfort Book</v>
      </c>
      <c r="E74" s="20" t="str">
        <f aca="false">Charts_Snapshot!H66</f>
        <v>Traditional/established press</v>
      </c>
      <c r="F74" s="21" t="n">
        <f aca="false">Charts_Snapshot!J66</f>
        <v>1.99</v>
      </c>
      <c r="G74" s="22" t="n">
        <f aca="false">Charts_Snapshot!M66</f>
        <v>1385</v>
      </c>
      <c r="H74" s="20" t="n">
        <f aca="false">Charts_Snapshot!P66</f>
        <v>1.6</v>
      </c>
      <c r="I74" s="20" t="str">
        <f aca="false">Charts_Snapshot!N66</f>
        <v>N</v>
      </c>
      <c r="J74" s="6" t="n">
        <f aca="false">MIN(MATCH(G74,BSR_Table!$A$2:$A$14,1),12)</f>
        <v>5</v>
      </c>
      <c r="K74" s="8" t="n">
        <f aca="false">INDEX(BSR_Table!$A$2:$A$14,J74)</f>
        <v>1000</v>
      </c>
      <c r="L74" s="8" t="n">
        <f aca="false">INDEX(BSR_Table!$A$2:$A$14,J74+1)</f>
        <v>2000</v>
      </c>
      <c r="M74" s="23" t="n">
        <f aca="false">INDEX(BSR_Table!$B$2:$B$14,J74)</f>
        <v>120</v>
      </c>
      <c r="N74" s="23" t="n">
        <f aca="false">INDEX(BSR_Table!$B$2:$B$14,J74+1)</f>
        <v>65</v>
      </c>
      <c r="O74" s="10" t="n">
        <f aca="false">EXP(LN(M74)+(LN(G74)-LN(K74))*(LN(N74)-LN(M74))/(LN(L74)-LN(K74)))</f>
        <v>89.9633665362564</v>
      </c>
      <c r="P74" s="10" t="n">
        <f aca="false">O74*(1-$B$2)</f>
        <v>53.9780199217539</v>
      </c>
      <c r="Q74" s="10" t="n">
        <f aca="false">O74*(1+$B$2)</f>
        <v>125.948713150759</v>
      </c>
      <c r="R74" s="7" t="n">
        <f aca="false">IF(AND(F74&gt;=$B$4,F74&lt;=$B$5),MAX(0.7*F74-$B$3*H74,0.35*F74),0.35*F74)</f>
        <v>0.6965</v>
      </c>
      <c r="S74" s="8" t="n">
        <f aca="false">O74*$B$6</f>
        <v>2698.90099608769</v>
      </c>
      <c r="T74" s="24" t="n">
        <f aca="false">S74*R74</f>
        <v>1879.78454377508</v>
      </c>
      <c r="U74" s="24" t="n">
        <f aca="false">P74*$B$6*R74</f>
        <v>1127.87072626505</v>
      </c>
      <c r="V74" s="24" t="n">
        <f aca="false">Q74*$B$6*R74</f>
        <v>2631.69836128511</v>
      </c>
      <c r="W74" s="6" t="s">
        <v>1160</v>
      </c>
    </row>
    <row r="75" customFormat="false" ht="15" hidden="false" customHeight="false" outlineLevel="0" collapsed="false">
      <c r="A75" s="20" t="str">
        <f aca="false">Charts_Snapshot!A67</f>
        <v>Motivational|6</v>
      </c>
      <c r="B75" s="20" t="str">
        <f aca="false">Charts_Snapshot!B67</f>
        <v>Motivational</v>
      </c>
      <c r="C75" s="20" t="n">
        <f aca="false">Charts_Snapshot!D67</f>
        <v>6</v>
      </c>
      <c r="D75" s="20" t="str">
        <f aca="false">Charts_Snapshot!E67</f>
        <v>The Subtle Art of Not Giving a F*ck: A Counterintuitive Approach to Living a Good Life (Mark Manson Collection Book 1)</v>
      </c>
      <c r="E75" s="20" t="str">
        <f aca="false">Charts_Snapshot!H67</f>
        <v>Traditional/established press</v>
      </c>
      <c r="F75" s="21" t="n">
        <f aca="false">Charts_Snapshot!J67</f>
        <v>13.99</v>
      </c>
      <c r="G75" s="22" t="n">
        <f aca="false">Charts_Snapshot!M67</f>
        <v>1571</v>
      </c>
      <c r="H75" s="20" t="n">
        <f aca="false">Charts_Snapshot!P67</f>
        <v>2.2</v>
      </c>
      <c r="I75" s="20" t="str">
        <f aca="false">Charts_Snapshot!N67</f>
        <v>Y</v>
      </c>
      <c r="J75" s="6" t="n">
        <f aca="false">MIN(MATCH(G75,BSR_Table!$A$2:$A$14,1),12)</f>
        <v>5</v>
      </c>
      <c r="K75" s="8" t="n">
        <f aca="false">INDEX(BSR_Table!$A$2:$A$14,J75)</f>
        <v>1000</v>
      </c>
      <c r="L75" s="8" t="n">
        <f aca="false">INDEX(BSR_Table!$A$2:$A$14,J75+1)</f>
        <v>2000</v>
      </c>
      <c r="M75" s="23" t="n">
        <f aca="false">INDEX(BSR_Table!$B$2:$B$14,J75)</f>
        <v>120</v>
      </c>
      <c r="N75" s="23" t="n">
        <f aca="false">INDEX(BSR_Table!$B$2:$B$14,J75+1)</f>
        <v>65</v>
      </c>
      <c r="O75" s="10" t="n">
        <f aca="false">EXP(LN(M75)+(LN(G75)-LN(K75))*(LN(N75)-LN(M75))/(LN(L75)-LN(K75)))</f>
        <v>80.4746211766417</v>
      </c>
      <c r="P75" s="10" t="n">
        <f aca="false">O75*(1-$B$2)</f>
        <v>48.284772705985</v>
      </c>
      <c r="Q75" s="10" t="n">
        <f aca="false">O75*(1+$B$2)</f>
        <v>112.664469647298</v>
      </c>
      <c r="R75" s="7" t="n">
        <f aca="false">IF(AND(F75&gt;=$B$4,F75&lt;=$B$5),MAX(0.7*F75-$B$3*H75,0.35*F75),0.35*F75)</f>
        <v>4.8965</v>
      </c>
      <c r="S75" s="8" t="n">
        <f aca="false">O75*$B$6</f>
        <v>2414.23863529925</v>
      </c>
      <c r="T75" s="24" t="n">
        <f aca="false">S75*R75</f>
        <v>11821.3194777428</v>
      </c>
      <c r="U75" s="24" t="n">
        <f aca="false">P75*$B$6*R75</f>
        <v>7092.79168664567</v>
      </c>
      <c r="V75" s="24" t="n">
        <f aca="false">Q75*$B$6*R75</f>
        <v>16549.8472688399</v>
      </c>
      <c r="W75" s="6" t="s">
        <v>1160</v>
      </c>
    </row>
    <row r="76" customFormat="false" ht="15" hidden="false" customHeight="false" outlineLevel="0" collapsed="false">
      <c r="A76" s="20" t="str">
        <f aca="false">Charts_Snapshot!A68</f>
        <v>Motivational|7</v>
      </c>
      <c r="B76" s="20" t="str">
        <f aca="false">Charts_Snapshot!B68</f>
        <v>Motivational</v>
      </c>
      <c r="C76" s="20" t="n">
        <f aca="false">Charts_Snapshot!D68</f>
        <v>7</v>
      </c>
      <c r="D76" s="20" t="str">
        <f aca="false">Charts_Snapshot!E68</f>
        <v>Procrastinators Get Stuff Done: How to Go from Overwhelmed to Finished</v>
      </c>
      <c r="E76" s="20" t="str">
        <f aca="false">Charts_Snapshot!H68</f>
        <v>Traditional/established press</v>
      </c>
      <c r="F76" s="21" t="n">
        <f aca="false">Charts_Snapshot!J68</f>
        <v>14.99</v>
      </c>
      <c r="G76" s="22" t="n">
        <f aca="false">Charts_Snapshot!M68</f>
        <v>1930</v>
      </c>
      <c r="H76" s="20" t="n">
        <f aca="false">Charts_Snapshot!P68</f>
        <v>1</v>
      </c>
      <c r="I76" s="20" t="str">
        <f aca="false">Charts_Snapshot!N68</f>
        <v>N</v>
      </c>
      <c r="J76" s="6" t="n">
        <f aca="false">MIN(MATCH(G76,BSR_Table!$A$2:$A$14,1),12)</f>
        <v>5</v>
      </c>
      <c r="K76" s="8" t="n">
        <f aca="false">INDEX(BSR_Table!$A$2:$A$14,J76)</f>
        <v>1000</v>
      </c>
      <c r="L76" s="8" t="n">
        <f aca="false">INDEX(BSR_Table!$A$2:$A$14,J76+1)</f>
        <v>2000</v>
      </c>
      <c r="M76" s="23" t="n">
        <f aca="false">INDEX(BSR_Table!$B$2:$B$14,J76)</f>
        <v>120</v>
      </c>
      <c r="N76" s="23" t="n">
        <f aca="false">INDEX(BSR_Table!$B$2:$B$14,J76+1)</f>
        <v>65</v>
      </c>
      <c r="O76" s="10" t="n">
        <f aca="false">EXP(LN(M76)+(LN(G76)-LN(K76))*(LN(N76)-LN(M76))/(LN(L76)-LN(K76)))</f>
        <v>67.0809648350148</v>
      </c>
      <c r="P76" s="10" t="n">
        <f aca="false">O76*(1-$B$2)</f>
        <v>40.2485789010089</v>
      </c>
      <c r="Q76" s="10" t="n">
        <f aca="false">O76*(1+$B$2)</f>
        <v>93.9133507690208</v>
      </c>
      <c r="R76" s="7" t="n">
        <f aca="false">IF(AND(F76&gt;=$B$4,F76&lt;=$B$5),MAX(0.7*F76-$B$3*H76,0.35*F76),0.35*F76)</f>
        <v>5.2465</v>
      </c>
      <c r="S76" s="8" t="n">
        <f aca="false">O76*$B$6</f>
        <v>2012.42894505044</v>
      </c>
      <c r="T76" s="24" t="n">
        <f aca="false">S76*R76</f>
        <v>10558.2084602072</v>
      </c>
      <c r="U76" s="24" t="n">
        <f aca="false">P76*$B$6*R76</f>
        <v>6334.9250761243</v>
      </c>
      <c r="V76" s="24" t="n">
        <f aca="false">Q76*$B$6*R76</f>
        <v>14781.49184429</v>
      </c>
      <c r="W76" s="6" t="s">
        <v>1160</v>
      </c>
    </row>
    <row r="77" customFormat="false" ht="15" hidden="false" customHeight="false" outlineLevel="0" collapsed="false">
      <c r="A77" s="20" t="str">
        <f aca="false">Charts_Snapshot!A69</f>
        <v>Motivational|8</v>
      </c>
      <c r="B77" s="20" t="str">
        <f aca="false">Charts_Snapshot!B69</f>
        <v>Motivational</v>
      </c>
      <c r="C77" s="20" t="n">
        <f aca="false">Charts_Snapshot!D69</f>
        <v>8</v>
      </c>
      <c r="D77" s="20" t="str">
        <f aca="false">Charts_Snapshot!E69</f>
        <v>Meditations for Mortals: Four Weeks to Embrace Your Limitations and Make Time for What Counts</v>
      </c>
      <c r="E77" s="20" t="str">
        <f aca="false">Charts_Snapshot!H69</f>
        <v>Traditional/established press</v>
      </c>
      <c r="F77" s="21" t="n">
        <f aca="false">Charts_Snapshot!J69</f>
        <v>11.99</v>
      </c>
      <c r="G77" s="22" t="n">
        <f aca="false">Charts_Snapshot!M69</f>
        <v>2339</v>
      </c>
      <c r="H77" s="20" t="n">
        <f aca="false">Charts_Snapshot!P69</f>
        <v>2.7</v>
      </c>
      <c r="I77" s="20" t="str">
        <f aca="false">Charts_Snapshot!N69</f>
        <v>N</v>
      </c>
      <c r="J77" s="6" t="n">
        <f aca="false">MIN(MATCH(G77,BSR_Table!$A$2:$A$14,1),12)</f>
        <v>6</v>
      </c>
      <c r="K77" s="8" t="n">
        <f aca="false">INDEX(BSR_Table!$A$2:$A$14,J77)</f>
        <v>2000</v>
      </c>
      <c r="L77" s="8" t="n">
        <f aca="false">INDEX(BSR_Table!$A$2:$A$14,J77+1)</f>
        <v>5000</v>
      </c>
      <c r="M77" s="23" t="n">
        <f aca="false">INDEX(BSR_Table!$B$2:$B$14,J77)</f>
        <v>65</v>
      </c>
      <c r="N77" s="23" t="n">
        <f aca="false">INDEX(BSR_Table!$B$2:$B$14,J77+1)</f>
        <v>30</v>
      </c>
      <c r="O77" s="10" t="n">
        <f aca="false">EXP(LN(M77)+(LN(G77)-LN(K77))*(LN(N77)-LN(M77))/(LN(L77)-LN(K77)))</f>
        <v>56.9551502506633</v>
      </c>
      <c r="P77" s="10" t="n">
        <f aca="false">O77*(1-$B$2)</f>
        <v>34.173090150398</v>
      </c>
      <c r="Q77" s="10" t="n">
        <f aca="false">O77*(1+$B$2)</f>
        <v>79.7372103509287</v>
      </c>
      <c r="R77" s="7" t="n">
        <f aca="false">IF(AND(F77&gt;=$B$4,F77&lt;=$B$5),MAX(0.7*F77-$B$3*H77,0.35*F77),0.35*F77)</f>
        <v>7.988</v>
      </c>
      <c r="S77" s="8" t="n">
        <f aca="false">O77*$B$6</f>
        <v>1708.6545075199</v>
      </c>
      <c r="T77" s="24" t="n">
        <f aca="false">S77*R77</f>
        <v>13648.732206069</v>
      </c>
      <c r="U77" s="24" t="n">
        <f aca="false">P77*$B$6*R77</f>
        <v>8189.23932364138</v>
      </c>
      <c r="V77" s="24" t="n">
        <f aca="false">Q77*$B$6*R77</f>
        <v>19108.2250884965</v>
      </c>
      <c r="W77" s="6" t="s">
        <v>1160</v>
      </c>
    </row>
    <row r="78" customFormat="false" ht="15" hidden="false" customHeight="false" outlineLevel="0" collapsed="false">
      <c r="A78" s="20" t="str">
        <f aca="false">Charts_Snapshot!A70</f>
        <v>Motivational|9</v>
      </c>
      <c r="B78" s="20" t="str">
        <f aca="false">Charts_Snapshot!B70</f>
        <v>Motivational</v>
      </c>
      <c r="C78" s="20" t="n">
        <f aca="false">Charts_Snapshot!D70</f>
        <v>9</v>
      </c>
      <c r="D78" s="20" t="str">
        <f aca="false">Charts_Snapshot!E70</f>
        <v>What to Make of a Life: Cliffs, Fog, Fire and the Self-Knowledge Imperative</v>
      </c>
      <c r="E78" s="20" t="str">
        <f aca="false">Charts_Snapshot!H70</f>
        <v>Traditional/established press</v>
      </c>
      <c r="F78" s="21" t="n">
        <f aca="false">Charts_Snapshot!J70</f>
        <v>2.99</v>
      </c>
      <c r="G78" s="22" t="n">
        <f aca="false">Charts_Snapshot!M70</f>
        <v>2356</v>
      </c>
      <c r="H78" s="20" t="n">
        <f aca="false">Charts_Snapshot!P70</f>
        <v>2.3</v>
      </c>
      <c r="I78" s="20" t="str">
        <f aca="false">Charts_Snapshot!N70</f>
        <v>N</v>
      </c>
      <c r="J78" s="6" t="n">
        <f aca="false">MIN(MATCH(G78,BSR_Table!$A$2:$A$14,1),12)</f>
        <v>6</v>
      </c>
      <c r="K78" s="8" t="n">
        <f aca="false">INDEX(BSR_Table!$A$2:$A$14,J78)</f>
        <v>2000</v>
      </c>
      <c r="L78" s="8" t="n">
        <f aca="false">INDEX(BSR_Table!$A$2:$A$14,J78+1)</f>
        <v>5000</v>
      </c>
      <c r="M78" s="23" t="n">
        <f aca="false">INDEX(BSR_Table!$B$2:$B$14,J78)</f>
        <v>65</v>
      </c>
      <c r="N78" s="23" t="n">
        <f aca="false">INDEX(BSR_Table!$B$2:$B$14,J78+1)</f>
        <v>30</v>
      </c>
      <c r="O78" s="10" t="n">
        <f aca="false">EXP(LN(M78)+(LN(G78)-LN(K78))*(LN(N78)-LN(M78))/(LN(L78)-LN(K78)))</f>
        <v>56.608169945584</v>
      </c>
      <c r="P78" s="10" t="n">
        <f aca="false">O78*(1-$B$2)</f>
        <v>33.9649019673504</v>
      </c>
      <c r="Q78" s="10" t="n">
        <f aca="false">O78*(1+$B$2)</f>
        <v>79.2514379238176</v>
      </c>
      <c r="R78" s="7" t="n">
        <f aca="false">IF(AND(F78&gt;=$B$4,F78&lt;=$B$5),MAX(0.7*F78-$B$3*H78,0.35*F78),0.35*F78)</f>
        <v>1.748</v>
      </c>
      <c r="S78" s="8" t="n">
        <f aca="false">O78*$B$6</f>
        <v>1698.24509836752</v>
      </c>
      <c r="T78" s="24" t="n">
        <f aca="false">S78*R78</f>
        <v>2968.53243194643</v>
      </c>
      <c r="U78" s="24" t="n">
        <f aca="false">P78*$B$6*R78</f>
        <v>1781.11945916786</v>
      </c>
      <c r="V78" s="24" t="n">
        <f aca="false">Q78*$B$6*R78</f>
        <v>4155.945404725</v>
      </c>
      <c r="W78" s="6" t="s">
        <v>1160</v>
      </c>
    </row>
    <row r="79" customFormat="false" ht="15" hidden="false" customHeight="false" outlineLevel="0" collapsed="false">
      <c r="A79" s="20" t="str">
        <f aca="false">Charts_Snapshot!A71</f>
        <v>Motivational|10</v>
      </c>
      <c r="B79" s="20" t="str">
        <f aca="false">Charts_Snapshot!B71</f>
        <v>Motivational</v>
      </c>
      <c r="C79" s="20" t="n">
        <f aca="false">Charts_Snapshot!D71</f>
        <v>10</v>
      </c>
      <c r="D79" s="20" t="str">
        <f aca="false">Charts_Snapshot!E71</f>
        <v>The Laws of Human Nature</v>
      </c>
      <c r="E79" s="20" t="str">
        <f aca="false">Charts_Snapshot!H71</f>
        <v>Traditional/established press</v>
      </c>
      <c r="F79" s="21" t="n">
        <f aca="false">Charts_Snapshot!J71</f>
        <v>12.99</v>
      </c>
      <c r="G79" s="22" t="n">
        <f aca="false">Charts_Snapshot!M71</f>
        <v>2417</v>
      </c>
      <c r="H79" s="20" t="n">
        <f aca="false">Charts_Snapshot!P71</f>
        <v>1.7</v>
      </c>
      <c r="I79" s="20" t="str">
        <f aca="false">Charts_Snapshot!N71</f>
        <v>N</v>
      </c>
      <c r="J79" s="6" t="n">
        <f aca="false">MIN(MATCH(G79,BSR_Table!$A$2:$A$14,1),12)</f>
        <v>6</v>
      </c>
      <c r="K79" s="8" t="n">
        <f aca="false">INDEX(BSR_Table!$A$2:$A$14,J79)</f>
        <v>2000</v>
      </c>
      <c r="L79" s="8" t="n">
        <f aca="false">INDEX(BSR_Table!$A$2:$A$14,J79+1)</f>
        <v>5000</v>
      </c>
      <c r="M79" s="23" t="n">
        <f aca="false">INDEX(BSR_Table!$B$2:$B$14,J79)</f>
        <v>65</v>
      </c>
      <c r="N79" s="23" t="n">
        <f aca="false">INDEX(BSR_Table!$B$2:$B$14,J79+1)</f>
        <v>30</v>
      </c>
      <c r="O79" s="10" t="n">
        <f aca="false">EXP(LN(M79)+(LN(G79)-LN(K79))*(LN(N79)-LN(M79))/(LN(L79)-LN(K79)))</f>
        <v>55.4002208321148</v>
      </c>
      <c r="P79" s="10" t="n">
        <f aca="false">O79*(1-$B$2)</f>
        <v>33.2401324992689</v>
      </c>
      <c r="Q79" s="10" t="n">
        <f aca="false">O79*(1+$B$2)</f>
        <v>77.5603091649607</v>
      </c>
      <c r="R79" s="7" t="n">
        <f aca="false">IF(AND(F79&gt;=$B$4,F79&lt;=$B$5),MAX(0.7*F79-$B$3*H79,0.35*F79),0.35*F79)</f>
        <v>8.838</v>
      </c>
      <c r="S79" s="8" t="n">
        <f aca="false">O79*$B$6</f>
        <v>1662.00662496344</v>
      </c>
      <c r="T79" s="24" t="n">
        <f aca="false">S79*R79</f>
        <v>14688.8145514269</v>
      </c>
      <c r="U79" s="24" t="n">
        <f aca="false">P79*$B$6*R79</f>
        <v>8813.28873085615</v>
      </c>
      <c r="V79" s="24" t="n">
        <f aca="false">Q79*$B$6*R79</f>
        <v>20564.3403719977</v>
      </c>
      <c r="W79" s="6" t="s">
        <v>1160</v>
      </c>
    </row>
    <row r="80" customFormat="false" ht="15" hidden="false" customHeight="false" outlineLevel="0" collapsed="false">
      <c r="A80" s="20" t="str">
        <f aca="false">Charts_Snapshot!A72</f>
        <v>Motivational|11</v>
      </c>
      <c r="B80" s="20" t="str">
        <f aca="false">Charts_Snapshot!B72</f>
        <v>Motivational</v>
      </c>
      <c r="C80" s="20" t="n">
        <f aca="false">Charts_Snapshot!D72</f>
        <v>11</v>
      </c>
      <c r="D80" s="20" t="str">
        <f aca="false">Charts_Snapshot!E72</f>
        <v>The Overthinker's Guide to Making Decisions: How to Make Decisions without Losing Your Mind (Books By Joseph Nguyen)</v>
      </c>
      <c r="E80" s="20" t="str">
        <f aca="false">Charts_Snapshot!H72</f>
        <v>Traditional/established press</v>
      </c>
      <c r="F80" s="21" t="n">
        <f aca="false">Charts_Snapshot!J72</f>
        <v>1.99</v>
      </c>
      <c r="G80" s="22" t="n">
        <f aca="false">Charts_Snapshot!M72</f>
        <v>2468</v>
      </c>
      <c r="H80" s="20" t="n">
        <f aca="false">Charts_Snapshot!P72</f>
        <v>0.91</v>
      </c>
      <c r="I80" s="20" t="str">
        <f aca="false">Charts_Snapshot!N72</f>
        <v>N</v>
      </c>
      <c r="J80" s="6" t="n">
        <f aca="false">MIN(MATCH(G80,BSR_Table!$A$2:$A$14,1),12)</f>
        <v>6</v>
      </c>
      <c r="K80" s="8" t="n">
        <f aca="false">INDEX(BSR_Table!$A$2:$A$14,J80)</f>
        <v>2000</v>
      </c>
      <c r="L80" s="8" t="n">
        <f aca="false">INDEX(BSR_Table!$A$2:$A$14,J80+1)</f>
        <v>5000</v>
      </c>
      <c r="M80" s="23" t="n">
        <f aca="false">INDEX(BSR_Table!$B$2:$B$14,J80)</f>
        <v>65</v>
      </c>
      <c r="N80" s="23" t="n">
        <f aca="false">INDEX(BSR_Table!$B$2:$B$14,J80+1)</f>
        <v>30</v>
      </c>
      <c r="O80" s="10" t="n">
        <f aca="false">EXP(LN(M80)+(LN(G80)-LN(K80))*(LN(N80)-LN(M80))/(LN(L80)-LN(K80)))</f>
        <v>54.4326221922833</v>
      </c>
      <c r="P80" s="10" t="n">
        <f aca="false">O80*(1-$B$2)</f>
        <v>32.65957331537</v>
      </c>
      <c r="Q80" s="10" t="n">
        <f aca="false">O80*(1+$B$2)</f>
        <v>76.2056710691966</v>
      </c>
      <c r="R80" s="7" t="n">
        <f aca="false">IF(AND(F80&gt;=$B$4,F80&lt;=$B$5),MAX(0.7*F80-$B$3*H80,0.35*F80),0.35*F80)</f>
        <v>0.6965</v>
      </c>
      <c r="S80" s="8" t="n">
        <f aca="false">O80*$B$6</f>
        <v>1632.9786657685</v>
      </c>
      <c r="T80" s="24" t="n">
        <f aca="false">S80*R80</f>
        <v>1137.36964070776</v>
      </c>
      <c r="U80" s="24" t="n">
        <f aca="false">P80*$B$6*R80</f>
        <v>682.421784424656</v>
      </c>
      <c r="V80" s="24" t="n">
        <f aca="false">Q80*$B$6*R80</f>
        <v>1592.31749699086</v>
      </c>
      <c r="W80" s="6" t="s">
        <v>1160</v>
      </c>
    </row>
    <row r="81" customFormat="false" ht="15" hidden="false" customHeight="false" outlineLevel="0" collapsed="false">
      <c r="A81" s="20" t="str">
        <f aca="false">Charts_Snapshot!A73</f>
        <v>Motivational|12</v>
      </c>
      <c r="B81" s="20" t="str">
        <f aca="false">Charts_Snapshot!B73</f>
        <v>Motivational</v>
      </c>
      <c r="C81" s="20" t="n">
        <f aca="false">Charts_Snapshot!D73</f>
        <v>12</v>
      </c>
      <c r="D81" s="20" t="str">
        <f aca="false">Charts_Snapshot!E73</f>
        <v>Dopamine Detox : A Short Guide to Remove Distractions and Get Your Brain to Do Hard Things (Productivity Series Book 1)</v>
      </c>
      <c r="E81" s="20" t="str">
        <f aca="false">Charts_Snapshot!H73</f>
        <v>Indie (no publisher listed)</v>
      </c>
      <c r="F81" s="21" t="n">
        <f aca="false">Charts_Snapshot!J73</f>
        <v>2.99</v>
      </c>
      <c r="G81" s="22" t="n">
        <f aca="false">Charts_Snapshot!M73</f>
        <v>2573</v>
      </c>
      <c r="H81" s="20" t="n">
        <f aca="false">Charts_Snapshot!P73</f>
        <v>1.3</v>
      </c>
      <c r="I81" s="20" t="str">
        <f aca="false">Charts_Snapshot!N73</f>
        <v>Y</v>
      </c>
      <c r="J81" s="6" t="n">
        <f aca="false">MIN(MATCH(G81,BSR_Table!$A$2:$A$14,1),12)</f>
        <v>6</v>
      </c>
      <c r="K81" s="8" t="n">
        <f aca="false">INDEX(BSR_Table!$A$2:$A$14,J81)</f>
        <v>2000</v>
      </c>
      <c r="L81" s="8" t="n">
        <f aca="false">INDEX(BSR_Table!$A$2:$A$14,J81+1)</f>
        <v>5000</v>
      </c>
      <c r="M81" s="23" t="n">
        <f aca="false">INDEX(BSR_Table!$B$2:$B$14,J81)</f>
        <v>65</v>
      </c>
      <c r="N81" s="23" t="n">
        <f aca="false">INDEX(BSR_Table!$B$2:$B$14,J81+1)</f>
        <v>30</v>
      </c>
      <c r="O81" s="10" t="n">
        <f aca="false">EXP(LN(M81)+(LN(G81)-LN(K81))*(LN(N81)-LN(M81))/(LN(L81)-LN(K81)))</f>
        <v>52.5521559059113</v>
      </c>
      <c r="P81" s="10" t="n">
        <f aca="false">O81*(1-$B$2)</f>
        <v>31.5312935435468</v>
      </c>
      <c r="Q81" s="10" t="n">
        <f aca="false">O81*(1+$B$2)</f>
        <v>73.5730182682758</v>
      </c>
      <c r="R81" s="7" t="n">
        <f aca="false">IF(AND(F81&gt;=$B$4,F81&lt;=$B$5),MAX(0.7*F81-$B$3*H81,0.35*F81),0.35*F81)</f>
        <v>1.898</v>
      </c>
      <c r="S81" s="8" t="n">
        <f aca="false">O81*$B$6</f>
        <v>1576.56467717734</v>
      </c>
      <c r="T81" s="24" t="n">
        <f aca="false">S81*R81</f>
        <v>2992.31975728259</v>
      </c>
      <c r="U81" s="24" t="n">
        <f aca="false">P81*$B$6*R81</f>
        <v>1795.39185436955</v>
      </c>
      <c r="V81" s="24" t="n">
        <f aca="false">Q81*$B$6*R81</f>
        <v>4189.24766019562</v>
      </c>
      <c r="W81" s="6" t="s">
        <v>1160</v>
      </c>
    </row>
    <row r="82" customFormat="false" ht="15" hidden="false" customHeight="false" outlineLevel="0" collapsed="false">
      <c r="A82" s="20" t="str">
        <f aca="false">Charts_Snapshot!A74</f>
        <v>Motivational|13</v>
      </c>
      <c r="B82" s="20" t="str">
        <f aca="false">Charts_Snapshot!B74</f>
        <v>Motivational</v>
      </c>
      <c r="C82" s="20" t="n">
        <f aca="false">Charts_Snapshot!D74</f>
        <v>13</v>
      </c>
      <c r="D82" s="20" t="str">
        <f aca="false">Charts_Snapshot!E74</f>
        <v>Situated: Find the People and Places That Bring Out Your Best</v>
      </c>
      <c r="E82" s="20" t="str">
        <f aca="false">Charts_Snapshot!H74</f>
        <v>Traditional/established press</v>
      </c>
      <c r="F82" s="21" t="n">
        <f aca="false">Charts_Snapshot!J74</f>
        <v>14.99</v>
      </c>
      <c r="G82" s="22" t="n">
        <f aca="false">Charts_Snapshot!M74</f>
        <v>3693</v>
      </c>
      <c r="H82" s="20" t="n">
        <f aca="false">Charts_Snapshot!P74</f>
        <v>17.1</v>
      </c>
      <c r="I82" s="20" t="str">
        <f aca="false">Charts_Snapshot!N74</f>
        <v>N</v>
      </c>
      <c r="J82" s="6" t="n">
        <f aca="false">MIN(MATCH(G82,BSR_Table!$A$2:$A$14,1),12)</f>
        <v>6</v>
      </c>
      <c r="K82" s="8" t="n">
        <f aca="false">INDEX(BSR_Table!$A$2:$A$14,J82)</f>
        <v>2000</v>
      </c>
      <c r="L82" s="8" t="n">
        <f aca="false">INDEX(BSR_Table!$A$2:$A$14,J82+1)</f>
        <v>5000</v>
      </c>
      <c r="M82" s="23" t="n">
        <f aca="false">INDEX(BSR_Table!$B$2:$B$14,J82)</f>
        <v>65</v>
      </c>
      <c r="N82" s="23" t="n">
        <f aca="false">INDEX(BSR_Table!$B$2:$B$14,J82+1)</f>
        <v>30</v>
      </c>
      <c r="O82" s="10" t="n">
        <f aca="false">EXP(LN(M82)+(LN(G82)-LN(K82))*(LN(N82)-LN(M82))/(LN(L82)-LN(K82)))</f>
        <v>38.7401143284133</v>
      </c>
      <c r="P82" s="10" t="n">
        <f aca="false">O82*(1-$B$2)</f>
        <v>23.244068597048</v>
      </c>
      <c r="Q82" s="10" t="n">
        <f aca="false">O82*(1+$B$2)</f>
        <v>54.2361600597786</v>
      </c>
      <c r="R82" s="7" t="n">
        <f aca="false">IF(AND(F82&gt;=$B$4,F82&lt;=$B$5),MAX(0.7*F82-$B$3*H82,0.35*F82),0.35*F82)</f>
        <v>5.2465</v>
      </c>
      <c r="S82" s="8" t="n">
        <f aca="false">O82*$B$6</f>
        <v>1162.2034298524</v>
      </c>
      <c r="T82" s="24" t="n">
        <f aca="false">S82*R82</f>
        <v>6097.50029472061</v>
      </c>
      <c r="U82" s="24" t="n">
        <f aca="false">P82*$B$6*R82</f>
        <v>3658.50017683236</v>
      </c>
      <c r="V82" s="24" t="n">
        <f aca="false">Q82*$B$6*R82</f>
        <v>8536.50041260885</v>
      </c>
      <c r="W82" s="6" t="s">
        <v>1160</v>
      </c>
    </row>
    <row r="83" customFormat="false" ht="15" hidden="false" customHeight="false" outlineLevel="0" collapsed="false">
      <c r="A83" s="20" t="str">
        <f aca="false">Charts_Snapshot!A75</f>
        <v>Motivational|14</v>
      </c>
      <c r="B83" s="20" t="str">
        <f aca="false">Charts_Snapshot!B75</f>
        <v>Motivational</v>
      </c>
      <c r="C83" s="20" t="n">
        <f aca="false">Charts_Snapshot!D75</f>
        <v>14</v>
      </c>
      <c r="D83" s="20" t="str">
        <f aca="false">Charts_Snapshot!E75</f>
        <v>Tame Your Thoughts: Three Tools to Renew Your Mind and Transform Your Life</v>
      </c>
      <c r="E83" s="20" t="str">
        <f aca="false">Charts_Snapshot!H75</f>
        <v>Traditional/established press</v>
      </c>
      <c r="F83" s="21" t="n">
        <f aca="false">Charts_Snapshot!J75</f>
        <v>3.99</v>
      </c>
      <c r="G83" s="22" t="n">
        <f aca="false">Charts_Snapshot!M75</f>
        <v>3584</v>
      </c>
      <c r="H83" s="20" t="n">
        <f aca="false">Charts_Snapshot!P75</f>
        <v>5.4</v>
      </c>
      <c r="I83" s="20" t="str">
        <f aca="false">Charts_Snapshot!N75</f>
        <v>Y</v>
      </c>
      <c r="J83" s="6" t="n">
        <f aca="false">MIN(MATCH(G83,BSR_Table!$A$2:$A$14,1),12)</f>
        <v>6</v>
      </c>
      <c r="K83" s="8" t="n">
        <f aca="false">INDEX(BSR_Table!$A$2:$A$14,J83)</f>
        <v>2000</v>
      </c>
      <c r="L83" s="8" t="n">
        <f aca="false">INDEX(BSR_Table!$A$2:$A$14,J83+1)</f>
        <v>5000</v>
      </c>
      <c r="M83" s="23" t="n">
        <f aca="false">INDEX(BSR_Table!$B$2:$B$14,J83)</f>
        <v>65</v>
      </c>
      <c r="N83" s="23" t="n">
        <f aca="false">INDEX(BSR_Table!$B$2:$B$14,J83+1)</f>
        <v>30</v>
      </c>
      <c r="O83" s="10" t="n">
        <f aca="false">EXP(LN(M83)+(LN(G83)-LN(K83))*(LN(N83)-LN(M83))/(LN(L83)-LN(K83)))</f>
        <v>39.7319770675411</v>
      </c>
      <c r="P83" s="10" t="n">
        <f aca="false">O83*(1-$B$2)</f>
        <v>23.8391862405246</v>
      </c>
      <c r="Q83" s="10" t="n">
        <f aca="false">O83*(1+$B$2)</f>
        <v>55.6247678945575</v>
      </c>
      <c r="R83" s="7" t="n">
        <f aca="false">IF(AND(F83&gt;=$B$4,F83&lt;=$B$5),MAX(0.7*F83-$B$3*H83,0.35*F83),0.35*F83)</f>
        <v>1.983</v>
      </c>
      <c r="S83" s="8" t="n">
        <f aca="false">O83*$B$6</f>
        <v>1191.95931202623</v>
      </c>
      <c r="T83" s="24" t="n">
        <f aca="false">S83*R83</f>
        <v>2363.65531574802</v>
      </c>
      <c r="U83" s="24" t="n">
        <f aca="false">P83*$B$6*R83</f>
        <v>1418.19318944881</v>
      </c>
      <c r="V83" s="24" t="n">
        <f aca="false">Q83*$B$6*R83</f>
        <v>3309.11744204723</v>
      </c>
      <c r="W83" s="6" t="s">
        <v>1160</v>
      </c>
    </row>
    <row r="84" customFormat="false" ht="15" hidden="false" customHeight="false" outlineLevel="0" collapsed="false">
      <c r="A84" s="20" t="str">
        <f aca="false">Charts_Snapshot!A76</f>
        <v>Motivational|15</v>
      </c>
      <c r="B84" s="20" t="str">
        <f aca="false">Charts_Snapshot!B76</f>
        <v>Motivational</v>
      </c>
      <c r="C84" s="20" t="n">
        <f aca="false">Charts_Snapshot!D76</f>
        <v>15</v>
      </c>
      <c r="D84" s="20" t="str">
        <f aca="false">Charts_Snapshot!E76</f>
        <v>Get Out of Your Head: Stopping the Spiral of Toxic Thoughts</v>
      </c>
      <c r="E84" s="20" t="str">
        <f aca="false">Charts_Snapshot!H76</f>
        <v>Traditional/established press</v>
      </c>
      <c r="F84" s="21" t="n">
        <f aca="false">Charts_Snapshot!J76</f>
        <v>9.99</v>
      </c>
      <c r="G84" s="22" t="n">
        <f aca="false">Charts_Snapshot!M76</f>
        <v>3647</v>
      </c>
      <c r="H84" s="20" t="n">
        <f aca="false">Charts_Snapshot!P76</f>
        <v>17</v>
      </c>
      <c r="I84" s="20" t="str">
        <f aca="false">Charts_Snapshot!N76</f>
        <v>N</v>
      </c>
      <c r="J84" s="6" t="n">
        <f aca="false">MIN(MATCH(G84,BSR_Table!$A$2:$A$14,1),12)</f>
        <v>6</v>
      </c>
      <c r="K84" s="8" t="n">
        <f aca="false">INDEX(BSR_Table!$A$2:$A$14,J84)</f>
        <v>2000</v>
      </c>
      <c r="L84" s="8" t="n">
        <f aca="false">INDEX(BSR_Table!$A$2:$A$14,J84+1)</f>
        <v>5000</v>
      </c>
      <c r="M84" s="23" t="n">
        <f aca="false">INDEX(BSR_Table!$B$2:$B$14,J84)</f>
        <v>65</v>
      </c>
      <c r="N84" s="23" t="n">
        <f aca="false">INDEX(BSR_Table!$B$2:$B$14,J84+1)</f>
        <v>30</v>
      </c>
      <c r="O84" s="10" t="n">
        <f aca="false">EXP(LN(M84)+(LN(G84)-LN(K84))*(LN(N84)-LN(M84))/(LN(L84)-LN(K84)))</f>
        <v>39.152031550016</v>
      </c>
      <c r="P84" s="10" t="n">
        <f aca="false">O84*(1-$B$2)</f>
        <v>23.4912189300096</v>
      </c>
      <c r="Q84" s="10" t="n">
        <f aca="false">O84*(1+$B$2)</f>
        <v>54.8128441700224</v>
      </c>
      <c r="R84" s="7" t="n">
        <f aca="false">IF(AND(F84&gt;=$B$4,F84&lt;=$B$5),MAX(0.7*F84-$B$3*H84,0.35*F84),0.35*F84)</f>
        <v>4.443</v>
      </c>
      <c r="S84" s="8" t="n">
        <f aca="false">O84*$B$6</f>
        <v>1174.56094650048</v>
      </c>
      <c r="T84" s="24" t="n">
        <f aca="false">S84*R84</f>
        <v>5218.57428530163</v>
      </c>
      <c r="U84" s="24" t="n">
        <f aca="false">P84*$B$6*R84</f>
        <v>3131.14457118098</v>
      </c>
      <c r="V84" s="24" t="n">
        <f aca="false">Q84*$B$6*R84</f>
        <v>7306.00399942229</v>
      </c>
      <c r="W84" s="6" t="s">
        <v>1160</v>
      </c>
    </row>
    <row r="85" customFormat="false" ht="15" hidden="false" customHeight="false" outlineLevel="0" collapsed="false">
      <c r="A85" s="20" t="str">
        <f aca="false">Charts_Snapshot!A77</f>
        <v>Motivational|16</v>
      </c>
      <c r="B85" s="20" t="str">
        <f aca="false">Charts_Snapshot!B77</f>
        <v>Motivational</v>
      </c>
      <c r="C85" s="20" t="n">
        <f aca="false">Charts_Snapshot!D77</f>
        <v>16</v>
      </c>
      <c r="D85" s="20" t="str">
        <f aca="false">Charts_Snapshot!E77</f>
        <v>Rules to Live By: How Extraordinary Lives Define What Really Matters</v>
      </c>
      <c r="E85" s="20" t="str">
        <f aca="false">Charts_Snapshot!H77</f>
        <v>Traditional/established press</v>
      </c>
      <c r="F85" s="21" t="n">
        <f aca="false">Charts_Snapshot!J77</f>
        <v>15.99</v>
      </c>
      <c r="G85" s="22" t="n">
        <f aca="false">Charts_Snapshot!M77</f>
        <v>3826</v>
      </c>
      <c r="H85" s="20" t="n">
        <f aca="false">Charts_Snapshot!P77</f>
        <v>4.6</v>
      </c>
      <c r="I85" s="20" t="str">
        <f aca="false">Charts_Snapshot!N77</f>
        <v>N</v>
      </c>
      <c r="J85" s="6" t="n">
        <f aca="false">MIN(MATCH(G85,BSR_Table!$A$2:$A$14,1),12)</f>
        <v>6</v>
      </c>
      <c r="K85" s="8" t="n">
        <f aca="false">INDEX(BSR_Table!$A$2:$A$14,J85)</f>
        <v>2000</v>
      </c>
      <c r="L85" s="8" t="n">
        <f aca="false">INDEX(BSR_Table!$A$2:$A$14,J85+1)</f>
        <v>5000</v>
      </c>
      <c r="M85" s="23" t="n">
        <f aca="false">INDEX(BSR_Table!$B$2:$B$14,J85)</f>
        <v>65</v>
      </c>
      <c r="N85" s="23" t="n">
        <f aca="false">INDEX(BSR_Table!$B$2:$B$14,J85+1)</f>
        <v>30</v>
      </c>
      <c r="O85" s="10" t="n">
        <f aca="false">EXP(LN(M85)+(LN(G85)-LN(K85))*(LN(N85)-LN(M85))/(LN(L85)-LN(K85)))</f>
        <v>37.6006157672075</v>
      </c>
      <c r="P85" s="10" t="n">
        <f aca="false">O85*(1-$B$2)</f>
        <v>22.5603694603245</v>
      </c>
      <c r="Q85" s="10" t="n">
        <f aca="false">O85*(1+$B$2)</f>
        <v>52.6408620740905</v>
      </c>
      <c r="R85" s="7" t="n">
        <f aca="false">IF(AND(F85&gt;=$B$4,F85&lt;=$B$5),MAX(0.7*F85-$B$3*H85,0.35*F85),0.35*F85)</f>
        <v>5.5965</v>
      </c>
      <c r="S85" s="8" t="n">
        <f aca="false">O85*$B$6</f>
        <v>1128.01847301622</v>
      </c>
      <c r="T85" s="24" t="n">
        <f aca="false">S85*R85</f>
        <v>6312.9553842353</v>
      </c>
      <c r="U85" s="24" t="n">
        <f aca="false">P85*$B$6*R85</f>
        <v>3787.77323054118</v>
      </c>
      <c r="V85" s="24" t="n">
        <f aca="false">Q85*$B$6*R85</f>
        <v>8838.13753792942</v>
      </c>
      <c r="W85" s="6" t="s">
        <v>1160</v>
      </c>
    </row>
    <row r="86" customFormat="false" ht="15" hidden="false" customHeight="false" outlineLevel="0" collapsed="false">
      <c r="A86" s="20" t="str">
        <f aca="false">Charts_Snapshot!A78</f>
        <v>Motivational|17</v>
      </c>
      <c r="B86" s="20" t="str">
        <f aca="false">Charts_Snapshot!B78</f>
        <v>Motivational</v>
      </c>
      <c r="C86" s="20" t="n">
        <f aca="false">Charts_Snapshot!D78</f>
        <v>17</v>
      </c>
      <c r="D86" s="20" t="str">
        <f aca="false">Charts_Snapshot!E78</f>
        <v>Tuesdays with Morrie: An Old Man, a Young Man, and Life's Greatest Lesson, 25th Anniversary Edition</v>
      </c>
      <c r="E86" s="20" t="str">
        <f aca="false">Charts_Snapshot!H78</f>
        <v>Traditional/established press</v>
      </c>
      <c r="F86" s="21" t="n">
        <f aca="false">Charts_Snapshot!J78</f>
        <v>7.99</v>
      </c>
      <c r="G86" s="22" t="n">
        <f aca="false">Charts_Snapshot!M78</f>
        <v>4046</v>
      </c>
      <c r="H86" s="20" t="n">
        <f aca="false">Charts_Snapshot!P78</f>
        <v>4</v>
      </c>
      <c r="I86" s="20" t="str">
        <f aca="false">Charts_Snapshot!N78</f>
        <v>N</v>
      </c>
      <c r="J86" s="6" t="n">
        <f aca="false">MIN(MATCH(G86,BSR_Table!$A$2:$A$14,1),12)</f>
        <v>6</v>
      </c>
      <c r="K86" s="8" t="n">
        <f aca="false">INDEX(BSR_Table!$A$2:$A$14,J86)</f>
        <v>2000</v>
      </c>
      <c r="L86" s="8" t="n">
        <f aca="false">INDEX(BSR_Table!$A$2:$A$14,J86+1)</f>
        <v>5000</v>
      </c>
      <c r="M86" s="23" t="n">
        <f aca="false">INDEX(BSR_Table!$B$2:$B$14,J86)</f>
        <v>65</v>
      </c>
      <c r="N86" s="23" t="n">
        <f aca="false">INDEX(BSR_Table!$B$2:$B$14,J86+1)</f>
        <v>30</v>
      </c>
      <c r="O86" s="10" t="n">
        <f aca="false">EXP(LN(M86)+(LN(G86)-LN(K86))*(LN(N86)-LN(M86))/(LN(L86)-LN(K86)))</f>
        <v>35.867911803889</v>
      </c>
      <c r="P86" s="10" t="n">
        <f aca="false">O86*(1-$B$2)</f>
        <v>21.5207470823334</v>
      </c>
      <c r="Q86" s="10" t="n">
        <f aca="false">O86*(1+$B$2)</f>
        <v>50.2150765254446</v>
      </c>
      <c r="R86" s="7" t="n">
        <f aca="false">IF(AND(F86&gt;=$B$4,F86&lt;=$B$5),MAX(0.7*F86-$B$3*H86,0.35*F86),0.35*F86)</f>
        <v>4.993</v>
      </c>
      <c r="S86" s="8" t="n">
        <f aca="false">O86*$B$6</f>
        <v>1076.03735411667</v>
      </c>
      <c r="T86" s="24" t="n">
        <f aca="false">S86*R86</f>
        <v>5372.65450910453</v>
      </c>
      <c r="U86" s="24" t="n">
        <f aca="false">P86*$B$6*R86</f>
        <v>3223.59270546272</v>
      </c>
      <c r="V86" s="24" t="n">
        <f aca="false">Q86*$B$6*R86</f>
        <v>7521.71631274634</v>
      </c>
      <c r="W86" s="6" t="s">
        <v>1160</v>
      </c>
    </row>
    <row r="87" customFormat="false" ht="15" hidden="false" customHeight="false" outlineLevel="0" collapsed="false">
      <c r="A87" s="20" t="str">
        <f aca="false">Charts_Snapshot!A79</f>
        <v>Motivational|18</v>
      </c>
      <c r="B87" s="20" t="str">
        <f aca="false">Charts_Snapshot!B79</f>
        <v>Motivational</v>
      </c>
      <c r="C87" s="20" t="n">
        <f aca="false">Charts_Snapshot!D79</f>
        <v>18</v>
      </c>
      <c r="D87" s="20" t="str">
        <f aca="false">Charts_Snapshot!E79</f>
        <v>The Mountain Is You: Transforming Self-Sabotage Into Self-Mastery</v>
      </c>
      <c r="E87" s="20" t="str">
        <f aca="false">Charts_Snapshot!H79</f>
        <v>Traditional/established press</v>
      </c>
      <c r="F87" s="21" t="n">
        <f aca="false">Charts_Snapshot!J79</f>
        <v>9.33</v>
      </c>
      <c r="G87" s="22" t="n">
        <f aca="false">Charts_Snapshot!M79</f>
        <v>4165</v>
      </c>
      <c r="H87" s="20" t="n">
        <f aca="false">Charts_Snapshot!P79</f>
        <v>0.51</v>
      </c>
      <c r="I87" s="20" t="str">
        <f aca="false">Charts_Snapshot!N79</f>
        <v>N</v>
      </c>
      <c r="J87" s="6" t="n">
        <f aca="false">MIN(MATCH(G87,BSR_Table!$A$2:$A$14,1),12)</f>
        <v>6</v>
      </c>
      <c r="K87" s="8" t="n">
        <f aca="false">INDEX(BSR_Table!$A$2:$A$14,J87)</f>
        <v>2000</v>
      </c>
      <c r="L87" s="8" t="n">
        <f aca="false">INDEX(BSR_Table!$A$2:$A$14,J87+1)</f>
        <v>5000</v>
      </c>
      <c r="M87" s="23" t="n">
        <f aca="false">INDEX(BSR_Table!$B$2:$B$14,J87)</f>
        <v>65</v>
      </c>
      <c r="N87" s="23" t="n">
        <f aca="false">INDEX(BSR_Table!$B$2:$B$14,J87+1)</f>
        <v>30</v>
      </c>
      <c r="O87" s="10" t="n">
        <f aca="false">EXP(LN(M87)+(LN(G87)-LN(K87))*(LN(N87)-LN(M87))/(LN(L87)-LN(K87)))</f>
        <v>35.0012102206824</v>
      </c>
      <c r="P87" s="10" t="n">
        <f aca="false">O87*(1-$B$2)</f>
        <v>21.0007261324094</v>
      </c>
      <c r="Q87" s="10" t="n">
        <f aca="false">O87*(1+$B$2)</f>
        <v>49.0016943089554</v>
      </c>
      <c r="R87" s="7" t="n">
        <f aca="false">IF(AND(F87&gt;=$B$4,F87&lt;=$B$5),MAX(0.7*F87-$B$3*H87,0.35*F87),0.35*F87)</f>
        <v>6.4545</v>
      </c>
      <c r="S87" s="8" t="n">
        <f aca="false">O87*$B$6</f>
        <v>1050.03630662047</v>
      </c>
      <c r="T87" s="24" t="n">
        <f aca="false">S87*R87</f>
        <v>6777.45934108183</v>
      </c>
      <c r="U87" s="24" t="n">
        <f aca="false">P87*$B$6*R87</f>
        <v>4066.4756046491</v>
      </c>
      <c r="V87" s="24" t="n">
        <f aca="false">Q87*$B$6*R87</f>
        <v>9488.44307751457</v>
      </c>
      <c r="W87" s="6" t="s">
        <v>1160</v>
      </c>
    </row>
    <row r="88" customFormat="false" ht="15" hidden="false" customHeight="false" outlineLevel="0" collapsed="false">
      <c r="A88" s="20" t="str">
        <f aca="false">Charts_Snapshot!A80</f>
        <v>Motivational|19</v>
      </c>
      <c r="B88" s="20" t="str">
        <f aca="false">Charts_Snapshot!B80</f>
        <v>Motivational</v>
      </c>
      <c r="C88" s="20" t="n">
        <f aca="false">Charts_Snapshot!D80</f>
        <v>19</v>
      </c>
      <c r="D88" s="20" t="str">
        <f aca="false">Charts_Snapshot!E80</f>
        <v>Make Your Bed: Little Things That Can Change Your Life...And Maybe the World</v>
      </c>
      <c r="E88" s="20" t="str">
        <f aca="false">Charts_Snapshot!H80</f>
        <v>Traditional/established press</v>
      </c>
      <c r="F88" s="21" t="n">
        <f aca="false">Charts_Snapshot!J80</f>
        <v>4.99</v>
      </c>
      <c r="G88" s="22" t="n">
        <f aca="false">Charts_Snapshot!M80</f>
        <v>4802</v>
      </c>
      <c r="H88" s="20" t="n">
        <f aca="false">Charts_Snapshot!P80</f>
        <v>1</v>
      </c>
      <c r="I88" s="20" t="str">
        <f aca="false">Charts_Snapshot!N80</f>
        <v>N</v>
      </c>
      <c r="J88" s="6" t="n">
        <f aca="false">MIN(MATCH(G88,BSR_Table!$A$2:$A$14,1),12)</f>
        <v>6</v>
      </c>
      <c r="K88" s="8" t="n">
        <f aca="false">INDEX(BSR_Table!$A$2:$A$14,J88)</f>
        <v>2000</v>
      </c>
      <c r="L88" s="8" t="n">
        <f aca="false">INDEX(BSR_Table!$A$2:$A$14,J88+1)</f>
        <v>5000</v>
      </c>
      <c r="M88" s="23" t="n">
        <f aca="false">INDEX(BSR_Table!$B$2:$B$14,J88)</f>
        <v>65</v>
      </c>
      <c r="N88" s="23" t="n">
        <f aca="false">INDEX(BSR_Table!$B$2:$B$14,J88+1)</f>
        <v>30</v>
      </c>
      <c r="O88" s="10" t="n">
        <f aca="false">EXP(LN(M88)+(LN(G88)-LN(K88))*(LN(N88)-LN(M88))/(LN(L88)-LN(K88)))</f>
        <v>31.0404911602631</v>
      </c>
      <c r="P88" s="10" t="n">
        <f aca="false">O88*(1-$B$2)</f>
        <v>18.6242946961578</v>
      </c>
      <c r="Q88" s="10" t="n">
        <f aca="false">O88*(1+$B$2)</f>
        <v>43.4566876243683</v>
      </c>
      <c r="R88" s="7" t="n">
        <f aca="false">IF(AND(F88&gt;=$B$4,F88&lt;=$B$5),MAX(0.7*F88-$B$3*H88,0.35*F88),0.35*F88)</f>
        <v>3.343</v>
      </c>
      <c r="S88" s="8" t="n">
        <f aca="false">O88*$B$6</f>
        <v>931.214734807892</v>
      </c>
      <c r="T88" s="24" t="n">
        <f aca="false">S88*R88</f>
        <v>3113.05085846278</v>
      </c>
      <c r="U88" s="24" t="n">
        <f aca="false">P88*$B$6*R88</f>
        <v>1867.83051507767</v>
      </c>
      <c r="V88" s="24" t="n">
        <f aca="false">Q88*$B$6*R88</f>
        <v>4358.2712018479</v>
      </c>
      <c r="W88" s="6" t="s">
        <v>1160</v>
      </c>
    </row>
    <row r="89" customFormat="false" ht="15" hidden="false" customHeight="false" outlineLevel="0" collapsed="false">
      <c r="A89" s="20" t="str">
        <f aca="false">Charts_Snapshot!A81</f>
        <v>Motivational|20</v>
      </c>
      <c r="B89" s="20" t="str">
        <f aca="false">Charts_Snapshot!B81</f>
        <v>Motivational</v>
      </c>
      <c r="C89" s="20" t="n">
        <f aca="false">Charts_Snapshot!D81</f>
        <v>20</v>
      </c>
      <c r="D89" s="20" t="str">
        <f aca="false">Charts_Snapshot!E81</f>
        <v>Big Magic: Creative Living Beyond Fear</v>
      </c>
      <c r="E89" s="20" t="str">
        <f aca="false">Charts_Snapshot!H81</f>
        <v>Traditional/established press</v>
      </c>
      <c r="F89" s="21" t="n">
        <f aca="false">Charts_Snapshot!J81</f>
        <v>1.99</v>
      </c>
      <c r="G89" s="22" t="n">
        <f aca="false">Charts_Snapshot!M81</f>
        <v>4854</v>
      </c>
      <c r="H89" s="20" t="n">
        <f aca="false">Charts_Snapshot!P81</f>
        <v>2.5</v>
      </c>
      <c r="I89" s="20" t="str">
        <f aca="false">Charts_Snapshot!N81</f>
        <v>N</v>
      </c>
      <c r="J89" s="6" t="n">
        <f aca="false">MIN(MATCH(G89,BSR_Table!$A$2:$A$14,1),12)</f>
        <v>6</v>
      </c>
      <c r="K89" s="8" t="n">
        <f aca="false">INDEX(BSR_Table!$A$2:$A$14,J89)</f>
        <v>2000</v>
      </c>
      <c r="L89" s="8" t="n">
        <f aca="false">INDEX(BSR_Table!$A$2:$A$14,J89+1)</f>
        <v>5000</v>
      </c>
      <c r="M89" s="23" t="n">
        <f aca="false">INDEX(BSR_Table!$B$2:$B$14,J89)</f>
        <v>65</v>
      </c>
      <c r="N89" s="23" t="n">
        <f aca="false">INDEX(BSR_Table!$B$2:$B$14,J89+1)</f>
        <v>30</v>
      </c>
      <c r="O89" s="10" t="n">
        <f aca="false">EXP(LN(M89)+(LN(G89)-LN(K89))*(LN(N89)-LN(M89))/(LN(L89)-LN(K89)))</f>
        <v>30.7596571608895</v>
      </c>
      <c r="P89" s="10" t="n">
        <f aca="false">O89*(1-$B$2)</f>
        <v>18.4557942965337</v>
      </c>
      <c r="Q89" s="10" t="n">
        <f aca="false">O89*(1+$B$2)</f>
        <v>43.0635200252453</v>
      </c>
      <c r="R89" s="7" t="n">
        <f aca="false">IF(AND(F89&gt;=$B$4,F89&lt;=$B$5),MAX(0.7*F89-$B$3*H89,0.35*F89),0.35*F89)</f>
        <v>0.6965</v>
      </c>
      <c r="S89" s="8" t="n">
        <f aca="false">O89*$B$6</f>
        <v>922.789714826684</v>
      </c>
      <c r="T89" s="24" t="n">
        <f aca="false">S89*R89</f>
        <v>642.723036376786</v>
      </c>
      <c r="U89" s="24" t="n">
        <f aca="false">P89*$B$6*R89</f>
        <v>385.633821826071</v>
      </c>
      <c r="V89" s="24" t="n">
        <f aca="false">Q89*$B$6*R89</f>
        <v>899.8122509275</v>
      </c>
      <c r="W89" s="6" t="s">
        <v>1160</v>
      </c>
    </row>
    <row r="90" customFormat="false" ht="15" hidden="false" customHeight="false" outlineLevel="0" collapsed="false">
      <c r="A90" s="20" t="str">
        <f aca="false">Charts_Snapshot!A82</f>
        <v>Affirmations|1</v>
      </c>
      <c r="B90" s="20" t="str">
        <f aca="false">Charts_Snapshot!B82</f>
        <v>Affirmations</v>
      </c>
      <c r="C90" s="20" t="n">
        <f aca="false">Charts_Snapshot!D82</f>
        <v>1</v>
      </c>
      <c r="D90" s="20" t="str">
        <f aca="false">Charts_Snapshot!E82</f>
        <v>Make Your Bed: Little Things That Can Change Your Life...And Maybe the World</v>
      </c>
      <c r="E90" s="20" t="str">
        <f aca="false">Charts_Snapshot!H82</f>
        <v>Traditional/established press</v>
      </c>
      <c r="F90" s="21" t="n">
        <f aca="false">Charts_Snapshot!J82</f>
        <v>4.99</v>
      </c>
      <c r="G90" s="22" t="n">
        <f aca="false">Charts_Snapshot!M82</f>
        <v>4802</v>
      </c>
      <c r="H90" s="20" t="n">
        <f aca="false">Charts_Snapshot!P82</f>
        <v>1</v>
      </c>
      <c r="I90" s="20" t="str">
        <f aca="false">Charts_Snapshot!N82</f>
        <v>N</v>
      </c>
      <c r="J90" s="6" t="n">
        <f aca="false">MIN(MATCH(G90,BSR_Table!$A$2:$A$14,1),12)</f>
        <v>6</v>
      </c>
      <c r="K90" s="8" t="n">
        <f aca="false">INDEX(BSR_Table!$A$2:$A$14,J90)</f>
        <v>2000</v>
      </c>
      <c r="L90" s="8" t="n">
        <f aca="false">INDEX(BSR_Table!$A$2:$A$14,J90+1)</f>
        <v>5000</v>
      </c>
      <c r="M90" s="23" t="n">
        <f aca="false">INDEX(BSR_Table!$B$2:$B$14,J90)</f>
        <v>65</v>
      </c>
      <c r="N90" s="23" t="n">
        <f aca="false">INDEX(BSR_Table!$B$2:$B$14,J90+1)</f>
        <v>30</v>
      </c>
      <c r="O90" s="10" t="n">
        <f aca="false">EXP(LN(M90)+(LN(G90)-LN(K90))*(LN(N90)-LN(M90))/(LN(L90)-LN(K90)))</f>
        <v>31.0404911602631</v>
      </c>
      <c r="P90" s="10" t="n">
        <f aca="false">O90*(1-$B$2)</f>
        <v>18.6242946961578</v>
      </c>
      <c r="Q90" s="10" t="n">
        <f aca="false">O90*(1+$B$2)</f>
        <v>43.4566876243683</v>
      </c>
      <c r="R90" s="7" t="n">
        <f aca="false">IF(AND(F90&gt;=$B$4,F90&lt;=$B$5),MAX(0.7*F90-$B$3*H90,0.35*F90),0.35*F90)</f>
        <v>3.343</v>
      </c>
      <c r="S90" s="8" t="n">
        <f aca="false">O90*$B$6</f>
        <v>931.214734807892</v>
      </c>
      <c r="T90" s="24" t="n">
        <f aca="false">S90*R90</f>
        <v>3113.05085846278</v>
      </c>
      <c r="U90" s="24" t="n">
        <f aca="false">P90*$B$6*R90</f>
        <v>1867.83051507767</v>
      </c>
      <c r="V90" s="24" t="n">
        <f aca="false">Q90*$B$6*R90</f>
        <v>4358.2712018479</v>
      </c>
      <c r="W90" s="6" t="s">
        <v>1160</v>
      </c>
    </row>
    <row r="91" customFormat="false" ht="15" hidden="false" customHeight="false" outlineLevel="0" collapsed="false">
      <c r="A91" s="20" t="str">
        <f aca="false">Charts_Snapshot!A83</f>
        <v>Affirmations|2</v>
      </c>
      <c r="B91" s="20" t="str">
        <f aca="false">Charts_Snapshot!B83</f>
        <v>Affirmations</v>
      </c>
      <c r="C91" s="20" t="n">
        <f aca="false">Charts_Snapshot!D83</f>
        <v>2</v>
      </c>
      <c r="D91" s="20" t="str">
        <f aca="false">Charts_Snapshot!E83</f>
        <v>The Power of Now: A Guide to Spiritual Enlightenment</v>
      </c>
      <c r="E91" s="20" t="str">
        <f aca="false">Charts_Snapshot!H83</f>
        <v>Traditional/established press</v>
      </c>
      <c r="F91" s="21" t="n">
        <f aca="false">Charts_Snapshot!J83</f>
        <v>8.54</v>
      </c>
      <c r="G91" s="22" t="n">
        <f aca="false">Charts_Snapshot!M83</f>
        <v>5349</v>
      </c>
      <c r="H91" s="20" t="n">
        <f aca="false">Charts_Snapshot!P83</f>
        <v>1.8</v>
      </c>
      <c r="I91" s="20" t="str">
        <f aca="false">Charts_Snapshot!N83</f>
        <v>N</v>
      </c>
      <c r="J91" s="6" t="n">
        <f aca="false">MIN(MATCH(G91,BSR_Table!$A$2:$A$14,1),12)</f>
        <v>7</v>
      </c>
      <c r="K91" s="8" t="n">
        <f aca="false">INDEX(BSR_Table!$A$2:$A$14,J91)</f>
        <v>5000</v>
      </c>
      <c r="L91" s="8" t="n">
        <f aca="false">INDEX(BSR_Table!$A$2:$A$14,J91+1)</f>
        <v>10000</v>
      </c>
      <c r="M91" s="23" t="n">
        <f aca="false">INDEX(BSR_Table!$B$2:$B$14,J91)</f>
        <v>30</v>
      </c>
      <c r="N91" s="23" t="n">
        <f aca="false">INDEX(BSR_Table!$B$2:$B$14,J91+1)</f>
        <v>20</v>
      </c>
      <c r="O91" s="10" t="n">
        <f aca="false">EXP(LN(M91)+(LN(G91)-LN(K91))*(LN(N91)-LN(M91))/(LN(L91)-LN(K91)))</f>
        <v>28.8390092489209</v>
      </c>
      <c r="P91" s="10" t="n">
        <f aca="false">O91*(1-$B$2)</f>
        <v>17.3034055493526</v>
      </c>
      <c r="Q91" s="10" t="n">
        <f aca="false">O91*(1+$B$2)</f>
        <v>40.3746129484893</v>
      </c>
      <c r="R91" s="7" t="n">
        <f aca="false">IF(AND(F91&gt;=$B$4,F91&lt;=$B$5),MAX(0.7*F91-$B$3*H91,0.35*F91),0.35*F91)</f>
        <v>5.708</v>
      </c>
      <c r="S91" s="8" t="n">
        <f aca="false">O91*$B$6</f>
        <v>865.170277467628</v>
      </c>
      <c r="T91" s="24" t="n">
        <f aca="false">S91*R91</f>
        <v>4938.39194378522</v>
      </c>
      <c r="U91" s="24" t="n">
        <f aca="false">P91*$B$6*R91</f>
        <v>2963.03516627113</v>
      </c>
      <c r="V91" s="24" t="n">
        <f aca="false">Q91*$B$6*R91</f>
        <v>6913.74872129931</v>
      </c>
      <c r="W91" s="6" t="s">
        <v>1160</v>
      </c>
    </row>
    <row r="92" customFormat="false" ht="15" hidden="false" customHeight="false" outlineLevel="0" collapsed="false">
      <c r="A92" s="20" t="str">
        <f aca="false">Charts_Snapshot!A84</f>
        <v>Affirmations|3</v>
      </c>
      <c r="B92" s="20" t="str">
        <f aca="false">Charts_Snapshot!B84</f>
        <v>Affirmations</v>
      </c>
      <c r="C92" s="20" t="n">
        <f aca="false">Charts_Snapshot!D84</f>
        <v>3</v>
      </c>
      <c r="D92" s="20" t="str">
        <f aca="false">Charts_Snapshot!E84</f>
        <v>Unfu*k Yourself: Get Out of Your Head and into Your Life – The New York Times Bestselling Tough-Love Self-Help Guide to Stop Self-Sabotage and Boost Resilience (Unfu*k Yourself series Book 1)</v>
      </c>
      <c r="E92" s="20" t="str">
        <f aca="false">Charts_Snapshot!H84</f>
        <v>Traditional/established press</v>
      </c>
      <c r="F92" s="21" t="n">
        <f aca="false">Charts_Snapshot!J84</f>
        <v>13.99</v>
      </c>
      <c r="G92" s="22" t="n">
        <f aca="false">Charts_Snapshot!M84</f>
        <v>7307</v>
      </c>
      <c r="H92" s="20" t="n">
        <f aca="false">Charts_Snapshot!P84</f>
        <v>2.1</v>
      </c>
      <c r="I92" s="20" t="str">
        <f aca="false">Charts_Snapshot!N84</f>
        <v>Y</v>
      </c>
      <c r="J92" s="6" t="n">
        <f aca="false">MIN(MATCH(G92,BSR_Table!$A$2:$A$14,1),12)</f>
        <v>7</v>
      </c>
      <c r="K92" s="8" t="n">
        <f aca="false">INDEX(BSR_Table!$A$2:$A$14,J92)</f>
        <v>5000</v>
      </c>
      <c r="L92" s="8" t="n">
        <f aca="false">INDEX(BSR_Table!$A$2:$A$14,J92+1)</f>
        <v>10000</v>
      </c>
      <c r="M92" s="23" t="n">
        <f aca="false">INDEX(BSR_Table!$B$2:$B$14,J92)</f>
        <v>30</v>
      </c>
      <c r="N92" s="23" t="n">
        <f aca="false">INDEX(BSR_Table!$B$2:$B$14,J92+1)</f>
        <v>20</v>
      </c>
      <c r="O92" s="10" t="n">
        <f aca="false">EXP(LN(M92)+(LN(G92)-LN(K92))*(LN(N92)-LN(M92))/(LN(L92)-LN(K92)))</f>
        <v>24.029100187757</v>
      </c>
      <c r="P92" s="10" t="n">
        <f aca="false">O92*(1-$B$2)</f>
        <v>14.4174601126542</v>
      </c>
      <c r="Q92" s="10" t="n">
        <f aca="false">O92*(1+$B$2)</f>
        <v>33.6407402628598</v>
      </c>
      <c r="R92" s="7" t="n">
        <f aca="false">IF(AND(F92&gt;=$B$4,F92&lt;=$B$5),MAX(0.7*F92-$B$3*H92,0.35*F92),0.35*F92)</f>
        <v>4.8965</v>
      </c>
      <c r="S92" s="8" t="n">
        <f aca="false">O92*$B$6</f>
        <v>720.87300563271</v>
      </c>
      <c r="T92" s="24" t="n">
        <f aca="false">S92*R92</f>
        <v>3529.75467208057</v>
      </c>
      <c r="U92" s="24" t="n">
        <f aca="false">P92*$B$6*R92</f>
        <v>2117.85280324834</v>
      </c>
      <c r="V92" s="24" t="n">
        <f aca="false">Q92*$B$6*R92</f>
        <v>4941.65654091279</v>
      </c>
      <c r="W92" s="6" t="s">
        <v>1160</v>
      </c>
    </row>
    <row r="93" customFormat="false" ht="15" hidden="false" customHeight="false" outlineLevel="0" collapsed="false">
      <c r="A93" s="20" t="str">
        <f aca="false">Charts_Snapshot!A85</f>
        <v>Affirmations|4</v>
      </c>
      <c r="B93" s="20" t="str">
        <f aca="false">Charts_Snapshot!B85</f>
        <v>Affirmations</v>
      </c>
      <c r="C93" s="20" t="n">
        <f aca="false">Charts_Snapshot!D85</f>
        <v>4</v>
      </c>
      <c r="D93" s="20" t="str">
        <f aca="false">Charts_Snapshot!E85</f>
        <v>The Force That Guides The Stars: 108 Quotes from Indian Sage P.R. Sarkar (Yoga Wisdom Series)</v>
      </c>
      <c r="E93" s="20" t="str">
        <f aca="false">Charts_Snapshot!H85</f>
        <v>Indie imprint (inferred)</v>
      </c>
      <c r="F93" s="21" t="n">
        <f aca="false">Charts_Snapshot!J85</f>
        <v>4.99</v>
      </c>
      <c r="G93" s="22" t="n">
        <f aca="false">Charts_Snapshot!M85</f>
        <v>14682</v>
      </c>
      <c r="H93" s="20" t="n">
        <f aca="false">Charts_Snapshot!P85</f>
        <v>0.64</v>
      </c>
      <c r="I93" s="20" t="str">
        <f aca="false">Charts_Snapshot!N85</f>
        <v>Y</v>
      </c>
      <c r="J93" s="6" t="n">
        <f aca="false">MIN(MATCH(G93,BSR_Table!$A$2:$A$14,1),12)</f>
        <v>8</v>
      </c>
      <c r="K93" s="8" t="n">
        <f aca="false">INDEX(BSR_Table!$A$2:$A$14,J93)</f>
        <v>10000</v>
      </c>
      <c r="L93" s="8" t="n">
        <f aca="false">INDEX(BSR_Table!$A$2:$A$14,J93+1)</f>
        <v>20000</v>
      </c>
      <c r="M93" s="23" t="n">
        <f aca="false">INDEX(BSR_Table!$B$2:$B$14,J93)</f>
        <v>20</v>
      </c>
      <c r="N93" s="23" t="n">
        <f aca="false">INDEX(BSR_Table!$B$2:$B$14,J93+1)</f>
        <v>10</v>
      </c>
      <c r="O93" s="10" t="n">
        <f aca="false">EXP(LN(M93)+(LN(G93)-LN(K93))*(LN(N93)-LN(M93))/(LN(L93)-LN(K93)))</f>
        <v>13.6221223266585</v>
      </c>
      <c r="P93" s="10" t="n">
        <f aca="false">O93*(1-$B$2)</f>
        <v>8.17327339599509</v>
      </c>
      <c r="Q93" s="10" t="n">
        <f aca="false">O93*(1+$B$2)</f>
        <v>19.0709712573219</v>
      </c>
      <c r="R93" s="7" t="n">
        <f aca="false">IF(AND(F93&gt;=$B$4,F93&lt;=$B$5),MAX(0.7*F93-$B$3*H93,0.35*F93),0.35*F93)</f>
        <v>3.397</v>
      </c>
      <c r="S93" s="8" t="n">
        <f aca="false">O93*$B$6</f>
        <v>408.663669799755</v>
      </c>
      <c r="T93" s="24" t="n">
        <f aca="false">S93*R93</f>
        <v>1388.23048630977</v>
      </c>
      <c r="U93" s="24" t="n">
        <f aca="false">P93*$B$6*R93</f>
        <v>832.93829178586</v>
      </c>
      <c r="V93" s="24" t="n">
        <f aca="false">Q93*$B$6*R93</f>
        <v>1943.52268083367</v>
      </c>
      <c r="W93" s="6" t="s">
        <v>1160</v>
      </c>
    </row>
    <row r="94" customFormat="false" ht="15" hidden="false" customHeight="false" outlineLevel="0" collapsed="false">
      <c r="A94" s="20" t="str">
        <f aca="false">Charts_Snapshot!A86</f>
        <v>Affirmations|5</v>
      </c>
      <c r="B94" s="20" t="str">
        <f aca="false">Charts_Snapshot!B86</f>
        <v>Affirmations</v>
      </c>
      <c r="C94" s="20" t="n">
        <f aca="false">Charts_Snapshot!D86</f>
        <v>5</v>
      </c>
      <c r="D94" s="20" t="str">
        <f aca="false">Charts_Snapshot!E86</f>
        <v>A Year to Clear: A Daily Guide to Creating Spaciousness in Your Home and Heart (Hierophant Space Clearing)</v>
      </c>
      <c r="E94" s="20" t="str">
        <f aca="false">Charts_Snapshot!H86</f>
        <v>Traditional/established press</v>
      </c>
      <c r="F94" s="21" t="n">
        <f aca="false">Charts_Snapshot!J86</f>
        <v>0.99</v>
      </c>
      <c r="G94" s="22" t="n">
        <f aca="false">Charts_Snapshot!M86</f>
        <v>21441</v>
      </c>
      <c r="H94" s="20" t="n">
        <f aca="false">Charts_Snapshot!P86</f>
        <v>2.1</v>
      </c>
      <c r="I94" s="20" t="str">
        <f aca="false">Charts_Snapshot!N86</f>
        <v>N</v>
      </c>
      <c r="J94" s="6" t="n">
        <f aca="false">MIN(MATCH(G94,BSR_Table!$A$2:$A$14,1),12)</f>
        <v>9</v>
      </c>
      <c r="K94" s="8" t="n">
        <f aca="false">INDEX(BSR_Table!$A$2:$A$14,J94)</f>
        <v>20000</v>
      </c>
      <c r="L94" s="8" t="n">
        <f aca="false">INDEX(BSR_Table!$A$2:$A$14,J94+1)</f>
        <v>50000</v>
      </c>
      <c r="M94" s="23" t="n">
        <f aca="false">INDEX(BSR_Table!$B$2:$B$14,J94)</f>
        <v>10</v>
      </c>
      <c r="N94" s="23" t="n">
        <f aca="false">INDEX(BSR_Table!$B$2:$B$14,J94+1)</f>
        <v>4</v>
      </c>
      <c r="O94" s="10" t="n">
        <f aca="false">EXP(LN(M94)+(LN(G94)-LN(K94))*(LN(N94)-LN(M94))/(LN(L94)-LN(K94)))</f>
        <v>9.32792313791335</v>
      </c>
      <c r="P94" s="10" t="n">
        <f aca="false">O94*(1-$B$2)</f>
        <v>5.59675388274801</v>
      </c>
      <c r="Q94" s="10" t="n">
        <f aca="false">O94*(1+$B$2)</f>
        <v>13.0590923930787</v>
      </c>
      <c r="R94" s="7" t="n">
        <f aca="false">IF(AND(F94&gt;=$B$4,F94&lt;=$B$5),MAX(0.7*F94-$B$3*H94,0.35*F94),0.35*F94)</f>
        <v>0.3465</v>
      </c>
      <c r="S94" s="8" t="n">
        <f aca="false">O94*$B$6</f>
        <v>279.8376941374</v>
      </c>
      <c r="T94" s="24" t="n">
        <f aca="false">S94*R94</f>
        <v>96.9637610186092</v>
      </c>
      <c r="U94" s="24" t="n">
        <f aca="false">P94*$B$6*R94</f>
        <v>58.1782566111655</v>
      </c>
      <c r="V94" s="24" t="n">
        <f aca="false">Q94*$B$6*R94</f>
        <v>135.749265426053</v>
      </c>
      <c r="W94" s="6" t="s">
        <v>1160</v>
      </c>
    </row>
    <row r="95" customFormat="false" ht="15" hidden="false" customHeight="false" outlineLevel="0" collapsed="false">
      <c r="A95" s="20" t="str">
        <f aca="false">Charts_Snapshot!A87</f>
        <v>Affirmations|6</v>
      </c>
      <c r="B95" s="20" t="str">
        <f aca="false">Charts_Snapshot!B87</f>
        <v>Affirmations</v>
      </c>
      <c r="C95" s="20" t="n">
        <f aca="false">Charts_Snapshot!D87</f>
        <v>6</v>
      </c>
      <c r="D95" s="20" t="str">
        <f aca="false">Charts_Snapshot!E87</f>
        <v>The Complete Works of Florence Scovel Shinn: The Game of Life and How to Play It; Your Word Is Your Wand; The Secret Door to Success; and The Power of the Spoken Word</v>
      </c>
      <c r="E95" s="20" t="str">
        <f aca="false">Charts_Snapshot!H87</f>
        <v>Public-domain reprint</v>
      </c>
      <c r="F95" s="21" t="n">
        <f aca="false">Charts_Snapshot!J87</f>
        <v>0.51</v>
      </c>
      <c r="G95" s="22" t="n">
        <f aca="false">Charts_Snapshot!M87</f>
        <v>24223</v>
      </c>
      <c r="H95" s="20" t="n">
        <f aca="false">Charts_Snapshot!P87</f>
        <v>0.55</v>
      </c>
      <c r="I95" s="20" t="str">
        <f aca="false">Charts_Snapshot!N87</f>
        <v>N</v>
      </c>
      <c r="J95" s="6" t="n">
        <f aca="false">MIN(MATCH(G95,BSR_Table!$A$2:$A$14,1),12)</f>
        <v>9</v>
      </c>
      <c r="K95" s="8" t="n">
        <f aca="false">INDEX(BSR_Table!$A$2:$A$14,J95)</f>
        <v>20000</v>
      </c>
      <c r="L95" s="8" t="n">
        <f aca="false">INDEX(BSR_Table!$A$2:$A$14,J95+1)</f>
        <v>50000</v>
      </c>
      <c r="M95" s="23" t="n">
        <f aca="false">INDEX(BSR_Table!$B$2:$B$14,J95)</f>
        <v>10</v>
      </c>
      <c r="N95" s="23" t="n">
        <f aca="false">INDEX(BSR_Table!$B$2:$B$14,J95+1)</f>
        <v>4</v>
      </c>
      <c r="O95" s="10" t="n">
        <f aca="false">EXP(LN(M95)+(LN(G95)-LN(K95))*(LN(N95)-LN(M95))/(LN(L95)-LN(K95)))</f>
        <v>8.25661561326012</v>
      </c>
      <c r="P95" s="10" t="n">
        <f aca="false">O95*(1-$B$2)</f>
        <v>4.95396936795607</v>
      </c>
      <c r="Q95" s="10" t="n">
        <f aca="false">O95*(1+$B$2)</f>
        <v>11.5592618585642</v>
      </c>
      <c r="R95" s="7" t="n">
        <f aca="false">IF(AND(F95&gt;=$B$4,F95&lt;=$B$5),MAX(0.7*F95-$B$3*H95,0.35*F95),0.35*F95)</f>
        <v>0.1785</v>
      </c>
      <c r="S95" s="8" t="n">
        <f aca="false">O95*$B$6</f>
        <v>247.698468397804</v>
      </c>
      <c r="T95" s="24" t="n">
        <f aca="false">S95*R95</f>
        <v>44.2141766090079</v>
      </c>
      <c r="U95" s="24" t="n">
        <f aca="false">P95*$B$6*R95</f>
        <v>26.5285059654048</v>
      </c>
      <c r="V95" s="24" t="n">
        <f aca="false">Q95*$B$6*R95</f>
        <v>61.8998472526111</v>
      </c>
      <c r="W95" s="6" t="s">
        <v>1160</v>
      </c>
    </row>
    <row r="96" customFormat="false" ht="15" hidden="false" customHeight="false" outlineLevel="0" collapsed="false">
      <c r="A96" s="20" t="str">
        <f aca="false">Charts_Snapshot!A88</f>
        <v>Affirmations|7</v>
      </c>
      <c r="B96" s="20" t="str">
        <f aca="false">Charts_Snapshot!B88</f>
        <v>Affirmations</v>
      </c>
      <c r="C96" s="20" t="n">
        <f aca="false">Charts_Snapshot!D88</f>
        <v>7</v>
      </c>
      <c r="D96" s="20" t="str">
        <f aca="false">Charts_Snapshot!E88</f>
        <v>Self-Compassion: The Proven Power of Being Kind to Yourself</v>
      </c>
      <c r="E96" s="20" t="str">
        <f aca="false">Charts_Snapshot!H88</f>
        <v>Traditional/established press</v>
      </c>
      <c r="F96" s="21" t="n">
        <f aca="false">Charts_Snapshot!J88</f>
        <v>13.99</v>
      </c>
      <c r="G96" s="22" t="n">
        <f aca="false">Charts_Snapshot!M88</f>
        <v>25438</v>
      </c>
      <c r="H96" s="20" t="n">
        <f aca="false">Charts_Snapshot!P88</f>
        <v>2.1</v>
      </c>
      <c r="I96" s="20" t="str">
        <f aca="false">Charts_Snapshot!N88</f>
        <v>N</v>
      </c>
      <c r="J96" s="6" t="n">
        <f aca="false">MIN(MATCH(G96,BSR_Table!$A$2:$A$14,1),12)</f>
        <v>9</v>
      </c>
      <c r="K96" s="8" t="n">
        <f aca="false">INDEX(BSR_Table!$A$2:$A$14,J96)</f>
        <v>20000</v>
      </c>
      <c r="L96" s="8" t="n">
        <f aca="false">INDEX(BSR_Table!$A$2:$A$14,J96+1)</f>
        <v>50000</v>
      </c>
      <c r="M96" s="23" t="n">
        <f aca="false">INDEX(BSR_Table!$B$2:$B$14,J96)</f>
        <v>10</v>
      </c>
      <c r="N96" s="23" t="n">
        <f aca="false">INDEX(BSR_Table!$B$2:$B$14,J96+1)</f>
        <v>4</v>
      </c>
      <c r="O96" s="10" t="n">
        <f aca="false">EXP(LN(M96)+(LN(G96)-LN(K96))*(LN(N96)-LN(M96))/(LN(L96)-LN(K96)))</f>
        <v>7.86225332180203</v>
      </c>
      <c r="P96" s="10" t="n">
        <f aca="false">O96*(1-$B$2)</f>
        <v>4.71735199308122</v>
      </c>
      <c r="Q96" s="10" t="n">
        <f aca="false">O96*(1+$B$2)</f>
        <v>11.0071546505228</v>
      </c>
      <c r="R96" s="7" t="n">
        <f aca="false">IF(AND(F96&gt;=$B$4,F96&lt;=$B$5),MAX(0.7*F96-$B$3*H96,0.35*F96),0.35*F96)</f>
        <v>4.8965</v>
      </c>
      <c r="S96" s="8" t="n">
        <f aca="false">O96*$B$6</f>
        <v>235.867599654061</v>
      </c>
      <c r="T96" s="24" t="n">
        <f aca="false">S96*R96</f>
        <v>1154.92570170611</v>
      </c>
      <c r="U96" s="24" t="n">
        <f aca="false">P96*$B$6*R96</f>
        <v>692.955421023665</v>
      </c>
      <c r="V96" s="24" t="n">
        <f aca="false">Q96*$B$6*R96</f>
        <v>1616.89598238855</v>
      </c>
      <c r="W96" s="6" t="s">
        <v>1160</v>
      </c>
    </row>
    <row r="97" customFormat="false" ht="15" hidden="false" customHeight="false" outlineLevel="0" collapsed="false">
      <c r="A97" s="20" t="str">
        <f aca="false">Charts_Snapshot!A89</f>
        <v>Affirmations|8</v>
      </c>
      <c r="B97" s="20" t="str">
        <f aca="false">Charts_Snapshot!B89</f>
        <v>Affirmations</v>
      </c>
      <c r="C97" s="20" t="n">
        <f aca="false">Charts_Snapshot!D89</f>
        <v>8</v>
      </c>
      <c r="D97" s="20" t="str">
        <f aca="false">Charts_Snapshot!E89</f>
        <v>The Soft Life Handbook: A Feminine Guide to Slow Living, Boundaries, and Romanticizing Your Life</v>
      </c>
      <c r="E97" s="20" t="str">
        <f aca="false">Charts_Snapshot!H89</f>
        <v>Indie (no publisher listed)</v>
      </c>
      <c r="F97" s="21" t="n">
        <f aca="false">Charts_Snapshot!J89</f>
        <v>7.88</v>
      </c>
      <c r="G97" s="22" t="n">
        <f aca="false">Charts_Snapshot!M89</f>
        <v>27484</v>
      </c>
      <c r="H97" s="20" t="n">
        <f aca="false">Charts_Snapshot!P89</f>
        <v>0.55</v>
      </c>
      <c r="I97" s="20" t="str">
        <f aca="false">Charts_Snapshot!N89</f>
        <v>Y</v>
      </c>
      <c r="J97" s="6" t="n">
        <f aca="false">MIN(MATCH(G97,BSR_Table!$A$2:$A$14,1),12)</f>
        <v>9</v>
      </c>
      <c r="K97" s="8" t="n">
        <f aca="false">INDEX(BSR_Table!$A$2:$A$14,J97)</f>
        <v>20000</v>
      </c>
      <c r="L97" s="8" t="n">
        <f aca="false">INDEX(BSR_Table!$A$2:$A$14,J97+1)</f>
        <v>50000</v>
      </c>
      <c r="M97" s="23" t="n">
        <f aca="false">INDEX(BSR_Table!$B$2:$B$14,J97)</f>
        <v>10</v>
      </c>
      <c r="N97" s="23" t="n">
        <f aca="false">INDEX(BSR_Table!$B$2:$B$14,J97+1)</f>
        <v>4</v>
      </c>
      <c r="O97" s="10" t="n">
        <f aca="false">EXP(LN(M97)+(LN(G97)-LN(K97))*(LN(N97)-LN(M97))/(LN(L97)-LN(K97)))</f>
        <v>7.2769611410275</v>
      </c>
      <c r="P97" s="10" t="n">
        <f aca="false">O97*(1-$B$2)</f>
        <v>4.3661766846165</v>
      </c>
      <c r="Q97" s="10" t="n">
        <f aca="false">O97*(1+$B$2)</f>
        <v>10.1877455974385</v>
      </c>
      <c r="R97" s="7" t="n">
        <f aca="false">IF(AND(F97&gt;=$B$4,F97&lt;=$B$5),MAX(0.7*F97-$B$3*H97,0.35*F97),0.35*F97)</f>
        <v>5.4335</v>
      </c>
      <c r="S97" s="8" t="n">
        <f aca="false">O97*$B$6</f>
        <v>218.308834230825</v>
      </c>
      <c r="T97" s="24" t="n">
        <f aca="false">S97*R97</f>
        <v>1186.18105079319</v>
      </c>
      <c r="U97" s="24" t="n">
        <f aca="false">P97*$B$6*R97</f>
        <v>711.708630475913</v>
      </c>
      <c r="V97" s="24" t="n">
        <f aca="false">Q97*$B$6*R97</f>
        <v>1660.65347111046</v>
      </c>
      <c r="W97" s="6" t="s">
        <v>1160</v>
      </c>
    </row>
    <row r="98" customFormat="false" ht="15" hidden="false" customHeight="false" outlineLevel="0" collapsed="false">
      <c r="A98" s="20" t="str">
        <f aca="false">Charts_Snapshot!A90</f>
        <v>Affirmations|9</v>
      </c>
      <c r="B98" s="20" t="str">
        <f aca="false">Charts_Snapshot!B90</f>
        <v>Affirmations</v>
      </c>
      <c r="C98" s="20" t="n">
        <f aca="false">Charts_Snapshot!D90</f>
        <v>9</v>
      </c>
      <c r="D98" s="20" t="str">
        <f aca="false">Charts_Snapshot!E90</f>
        <v>Life's Journeys According to Mister Rogers: Things to Remember Along the Way</v>
      </c>
      <c r="E98" s="20" t="str">
        <f aca="false">Charts_Snapshot!H90</f>
        <v>Traditional/established press</v>
      </c>
      <c r="F98" s="21" t="n">
        <f aca="false">Charts_Snapshot!J90</f>
        <v>2.99</v>
      </c>
      <c r="G98" s="22" t="n">
        <f aca="false">Charts_Snapshot!M90</f>
        <v>30708</v>
      </c>
      <c r="H98" s="20" t="n">
        <f aca="false">Charts_Snapshot!P90</f>
        <v>2.7</v>
      </c>
      <c r="I98" s="20" t="str">
        <f aca="false">Charts_Snapshot!N90</f>
        <v>N</v>
      </c>
      <c r="J98" s="6" t="n">
        <f aca="false">MIN(MATCH(G98,BSR_Table!$A$2:$A$14,1),12)</f>
        <v>9</v>
      </c>
      <c r="K98" s="8" t="n">
        <f aca="false">INDEX(BSR_Table!$A$2:$A$14,J98)</f>
        <v>20000</v>
      </c>
      <c r="L98" s="8" t="n">
        <f aca="false">INDEX(BSR_Table!$A$2:$A$14,J98+1)</f>
        <v>50000</v>
      </c>
      <c r="M98" s="23" t="n">
        <f aca="false">INDEX(BSR_Table!$B$2:$B$14,J98)</f>
        <v>10</v>
      </c>
      <c r="N98" s="23" t="n">
        <f aca="false">INDEX(BSR_Table!$B$2:$B$14,J98+1)</f>
        <v>4</v>
      </c>
      <c r="O98" s="10" t="n">
        <f aca="false">EXP(LN(M98)+(LN(G98)-LN(K98))*(LN(N98)-LN(M98))/(LN(L98)-LN(K98)))</f>
        <v>6.51296079197603</v>
      </c>
      <c r="P98" s="10" t="n">
        <f aca="false">O98*(1-$B$2)</f>
        <v>3.90777647518562</v>
      </c>
      <c r="Q98" s="10" t="n">
        <f aca="false">O98*(1+$B$2)</f>
        <v>9.11814510876644</v>
      </c>
      <c r="R98" s="7" t="n">
        <f aca="false">IF(AND(F98&gt;=$B$4,F98&lt;=$B$5),MAX(0.7*F98-$B$3*H98,0.35*F98),0.35*F98)</f>
        <v>1.688</v>
      </c>
      <c r="S98" s="8" t="n">
        <f aca="false">O98*$B$6</f>
        <v>195.388823759281</v>
      </c>
      <c r="T98" s="24" t="n">
        <f aca="false">S98*R98</f>
        <v>329.816334505666</v>
      </c>
      <c r="U98" s="24" t="n">
        <f aca="false">P98*$B$6*R98</f>
        <v>197.8898007034</v>
      </c>
      <c r="V98" s="24" t="n">
        <f aca="false">Q98*$B$6*R98</f>
        <v>461.742868307933</v>
      </c>
      <c r="W98" s="6" t="s">
        <v>1160</v>
      </c>
    </row>
    <row r="99" customFormat="false" ht="15" hidden="false" customHeight="false" outlineLevel="0" collapsed="false">
      <c r="A99" s="20" t="str">
        <f aca="false">Charts_Snapshot!A91</f>
        <v>Affirmations|10</v>
      </c>
      <c r="B99" s="20" t="str">
        <f aca="false">Charts_Snapshot!B91</f>
        <v>Affirmations</v>
      </c>
      <c r="C99" s="20" t="n">
        <f aca="false">Charts_Snapshot!D91</f>
        <v>10</v>
      </c>
      <c r="D99" s="20" t="str">
        <f aca="false">Charts_Snapshot!E91</f>
        <v>Your Word is Your Wand</v>
      </c>
      <c r="E99" s="20" t="str">
        <f aca="false">Charts_Snapshot!H91</f>
        <v>Public-domain reprint</v>
      </c>
      <c r="F99" s="21" t="n">
        <f aca="false">Charts_Snapshot!J91</f>
        <v>0.25</v>
      </c>
      <c r="G99" s="22" t="n">
        <f aca="false">Charts_Snapshot!M91</f>
        <v>34201</v>
      </c>
      <c r="H99" s="20" t="n">
        <f aca="false">Charts_Snapshot!P91</f>
        <v>0.62</v>
      </c>
      <c r="I99" s="20" t="str">
        <f aca="false">Charts_Snapshot!N91</f>
        <v>N</v>
      </c>
      <c r="J99" s="6" t="n">
        <f aca="false">MIN(MATCH(G99,BSR_Table!$A$2:$A$14,1),12)</f>
        <v>9</v>
      </c>
      <c r="K99" s="8" t="n">
        <f aca="false">INDEX(BSR_Table!$A$2:$A$14,J99)</f>
        <v>20000</v>
      </c>
      <c r="L99" s="8" t="n">
        <f aca="false">INDEX(BSR_Table!$A$2:$A$14,J99+1)</f>
        <v>50000</v>
      </c>
      <c r="M99" s="23" t="n">
        <f aca="false">INDEX(BSR_Table!$B$2:$B$14,J99)</f>
        <v>10</v>
      </c>
      <c r="N99" s="23" t="n">
        <f aca="false">INDEX(BSR_Table!$B$2:$B$14,J99+1)</f>
        <v>4</v>
      </c>
      <c r="O99" s="10" t="n">
        <f aca="false">EXP(LN(M99)+(LN(G99)-LN(K99))*(LN(N99)-LN(M99))/(LN(L99)-LN(K99)))</f>
        <v>5.84778222858981</v>
      </c>
      <c r="P99" s="10" t="n">
        <f aca="false">O99*(1-$B$2)</f>
        <v>3.50866933715388</v>
      </c>
      <c r="Q99" s="10" t="n">
        <f aca="false">O99*(1+$B$2)</f>
        <v>8.18689512002573</v>
      </c>
      <c r="R99" s="7" t="n">
        <f aca="false">IF(AND(F99&gt;=$B$4,F99&lt;=$B$5),MAX(0.7*F99-$B$3*H99,0.35*F99),0.35*F99)</f>
        <v>0.0875</v>
      </c>
      <c r="S99" s="8" t="n">
        <f aca="false">O99*$B$6</f>
        <v>175.433466857694</v>
      </c>
      <c r="T99" s="24" t="n">
        <f aca="false">S99*R99</f>
        <v>15.3504283500482</v>
      </c>
      <c r="U99" s="24" t="n">
        <f aca="false">P99*$B$6*R99</f>
        <v>9.21025701002895</v>
      </c>
      <c r="V99" s="24" t="n">
        <f aca="false">Q99*$B$6*R99</f>
        <v>21.4905996900675</v>
      </c>
      <c r="W99" s="6" t="s">
        <v>1160</v>
      </c>
    </row>
    <row r="100" customFormat="false" ht="15" hidden="false" customHeight="false" outlineLevel="0" collapsed="false">
      <c r="A100" s="20" t="str">
        <f aca="false">Charts_Snapshot!A92</f>
        <v>Affirmations|11</v>
      </c>
      <c r="B100" s="20" t="str">
        <f aca="false">Charts_Snapshot!B92</f>
        <v>Affirmations</v>
      </c>
      <c r="C100" s="20" t="n">
        <f aca="false">Charts_Snapshot!D92</f>
        <v>11</v>
      </c>
      <c r="D100" s="20" t="str">
        <f aca="false">Charts_Snapshot!E92</f>
        <v>I’m Still Here: A Dog's Purpose Forever</v>
      </c>
      <c r="E100" s="20" t="str">
        <f aca="false">Charts_Snapshot!H92</f>
        <v>Traditional/established press</v>
      </c>
      <c r="F100" s="21" t="n">
        <f aca="false">Charts_Snapshot!J92</f>
        <v>1.99</v>
      </c>
      <c r="G100" s="22" t="n">
        <f aca="false">Charts_Snapshot!M92</f>
        <v>35280</v>
      </c>
      <c r="H100" s="20" t="n">
        <f aca="false">Charts_Snapshot!P92</f>
        <v>56.5</v>
      </c>
      <c r="I100" s="20" t="str">
        <f aca="false">Charts_Snapshot!N92</f>
        <v>N</v>
      </c>
      <c r="J100" s="6" t="n">
        <f aca="false">MIN(MATCH(G100,BSR_Table!$A$2:$A$14,1),12)</f>
        <v>9</v>
      </c>
      <c r="K100" s="8" t="n">
        <f aca="false">INDEX(BSR_Table!$A$2:$A$14,J100)</f>
        <v>20000</v>
      </c>
      <c r="L100" s="8" t="n">
        <f aca="false">INDEX(BSR_Table!$A$2:$A$14,J100+1)</f>
        <v>50000</v>
      </c>
      <c r="M100" s="23" t="n">
        <f aca="false">INDEX(BSR_Table!$B$2:$B$14,J100)</f>
        <v>10</v>
      </c>
      <c r="N100" s="23" t="n">
        <f aca="false">INDEX(BSR_Table!$B$2:$B$14,J100+1)</f>
        <v>4</v>
      </c>
      <c r="O100" s="10" t="n">
        <f aca="false">EXP(LN(M100)+(LN(G100)-LN(K100))*(LN(N100)-LN(M100))/(LN(L100)-LN(K100)))</f>
        <v>5.66893424036281</v>
      </c>
      <c r="P100" s="10" t="n">
        <f aca="false">O100*(1-$B$2)</f>
        <v>3.40136054421768</v>
      </c>
      <c r="Q100" s="10" t="n">
        <f aca="false">O100*(1+$B$2)</f>
        <v>7.93650793650793</v>
      </c>
      <c r="R100" s="7" t="n">
        <f aca="false">IF(AND(F100&gt;=$B$4,F100&lt;=$B$5),MAX(0.7*F100-$B$3*H100,0.35*F100),0.35*F100)</f>
        <v>0.6965</v>
      </c>
      <c r="S100" s="8" t="n">
        <f aca="false">O100*$B$6</f>
        <v>170.068027210884</v>
      </c>
      <c r="T100" s="24" t="n">
        <f aca="false">S100*R100</f>
        <v>118.452380952381</v>
      </c>
      <c r="U100" s="24" t="n">
        <f aca="false">P100*$B$6*R100</f>
        <v>71.0714285714285</v>
      </c>
      <c r="V100" s="24" t="n">
        <f aca="false">Q100*$B$6*R100</f>
        <v>165.833333333333</v>
      </c>
      <c r="W100" s="6" t="s">
        <v>1160</v>
      </c>
    </row>
    <row r="101" customFormat="false" ht="15" hidden="false" customHeight="false" outlineLevel="0" collapsed="false">
      <c r="A101" s="20" t="str">
        <f aca="false">Charts_Snapshot!A93</f>
        <v>Affirmations|12</v>
      </c>
      <c r="B101" s="20" t="str">
        <f aca="false">Charts_Snapshot!B93</f>
        <v>Affirmations</v>
      </c>
      <c r="C101" s="20" t="n">
        <f aca="false">Charts_Snapshot!D93</f>
        <v>12</v>
      </c>
      <c r="D101" s="20" t="str">
        <f aca="false">Charts_Snapshot!E93</f>
        <v>Warrior Goddess Wisdom: Daily Inspiration for Women</v>
      </c>
      <c r="E101" s="20" t="str">
        <f aca="false">Charts_Snapshot!H93</f>
        <v>Traditional/established press</v>
      </c>
      <c r="F101" s="21" t="n">
        <f aca="false">Charts_Snapshot!J93</f>
        <v>0.99</v>
      </c>
      <c r="G101" s="22" t="n">
        <f aca="false">Charts_Snapshot!M93</f>
        <v>41032</v>
      </c>
      <c r="H101" s="20" t="n">
        <f aca="false">Charts_Snapshot!P93</f>
        <v>3.9</v>
      </c>
      <c r="I101" s="20" t="str">
        <f aca="false">Charts_Snapshot!N93</f>
        <v>N</v>
      </c>
      <c r="J101" s="6" t="n">
        <f aca="false">MIN(MATCH(G101,BSR_Table!$A$2:$A$14,1),12)</f>
        <v>9</v>
      </c>
      <c r="K101" s="8" t="n">
        <f aca="false">INDEX(BSR_Table!$A$2:$A$14,J101)</f>
        <v>20000</v>
      </c>
      <c r="L101" s="8" t="n">
        <f aca="false">INDEX(BSR_Table!$A$2:$A$14,J101+1)</f>
        <v>50000</v>
      </c>
      <c r="M101" s="23" t="n">
        <f aca="false">INDEX(BSR_Table!$B$2:$B$14,J101)</f>
        <v>10</v>
      </c>
      <c r="N101" s="23" t="n">
        <f aca="false">INDEX(BSR_Table!$B$2:$B$14,J101+1)</f>
        <v>4</v>
      </c>
      <c r="O101" s="10" t="n">
        <f aca="false">EXP(LN(M101)+(LN(G101)-LN(K101))*(LN(N101)-LN(M101))/(LN(L101)-LN(K101)))</f>
        <v>4.87424449210372</v>
      </c>
      <c r="P101" s="10" t="n">
        <f aca="false">O101*(1-$B$2)</f>
        <v>2.92454669526223</v>
      </c>
      <c r="Q101" s="10" t="n">
        <f aca="false">O101*(1+$B$2)</f>
        <v>6.82394228894521</v>
      </c>
      <c r="R101" s="7" t="n">
        <f aca="false">IF(AND(F101&gt;=$B$4,F101&lt;=$B$5),MAX(0.7*F101-$B$3*H101,0.35*F101),0.35*F101)</f>
        <v>0.3465</v>
      </c>
      <c r="S101" s="8" t="n">
        <f aca="false">O101*$B$6</f>
        <v>146.227334763112</v>
      </c>
      <c r="T101" s="24" t="n">
        <f aca="false">S101*R101</f>
        <v>50.6677714954182</v>
      </c>
      <c r="U101" s="24" t="n">
        <f aca="false">P101*$B$6*R101</f>
        <v>30.4006628972509</v>
      </c>
      <c r="V101" s="24" t="n">
        <f aca="false">Q101*$B$6*R101</f>
        <v>70.9348800935855</v>
      </c>
      <c r="W101" s="6" t="s">
        <v>1160</v>
      </c>
    </row>
    <row r="102" customFormat="false" ht="15" hidden="false" customHeight="false" outlineLevel="0" collapsed="false">
      <c r="A102" s="20" t="str">
        <f aca="false">Charts_Snapshot!A94</f>
        <v>Affirmations|13</v>
      </c>
      <c r="B102" s="20" t="str">
        <f aca="false">Charts_Snapshot!B94</f>
        <v>Affirmations</v>
      </c>
      <c r="C102" s="20" t="n">
        <f aca="false">Charts_Snapshot!D94</f>
        <v>13</v>
      </c>
      <c r="D102" s="20" t="str">
        <f aca="false">Charts_Snapshot!E94</f>
        <v>Earth, Air, Fire &amp; Water: More Techniques of Natural Magic (Llewellyn's Practical Magick Series)</v>
      </c>
      <c r="E102" s="20" t="str">
        <f aca="false">Charts_Snapshot!H94</f>
        <v>Traditional/established press</v>
      </c>
      <c r="F102" s="21" t="n">
        <f aca="false">Charts_Snapshot!J94</f>
        <v>3.99</v>
      </c>
      <c r="G102" s="22" t="n">
        <f aca="false">Charts_Snapshot!M94</f>
        <v>45787</v>
      </c>
      <c r="H102" s="20" t="n">
        <f aca="false">Charts_Snapshot!P94</f>
        <v>4.2</v>
      </c>
      <c r="I102" s="20" t="str">
        <f aca="false">Charts_Snapshot!N94</f>
        <v>Y</v>
      </c>
      <c r="J102" s="6" t="n">
        <f aca="false">MIN(MATCH(G102,BSR_Table!$A$2:$A$14,1),12)</f>
        <v>9</v>
      </c>
      <c r="K102" s="8" t="n">
        <f aca="false">INDEX(BSR_Table!$A$2:$A$14,J102)</f>
        <v>20000</v>
      </c>
      <c r="L102" s="8" t="n">
        <f aca="false">INDEX(BSR_Table!$A$2:$A$14,J102+1)</f>
        <v>50000</v>
      </c>
      <c r="M102" s="23" t="n">
        <f aca="false">INDEX(BSR_Table!$B$2:$B$14,J102)</f>
        <v>10</v>
      </c>
      <c r="N102" s="23" t="n">
        <f aca="false">INDEX(BSR_Table!$B$2:$B$14,J102+1)</f>
        <v>4</v>
      </c>
      <c r="O102" s="10" t="n">
        <f aca="false">EXP(LN(M102)+(LN(G102)-LN(K102))*(LN(N102)-LN(M102))/(LN(L102)-LN(K102)))</f>
        <v>4.36805206718064</v>
      </c>
      <c r="P102" s="10" t="n">
        <f aca="false">O102*(1-$B$2)</f>
        <v>2.62083124030838</v>
      </c>
      <c r="Q102" s="10" t="n">
        <f aca="false">O102*(1+$B$2)</f>
        <v>6.1152728940529</v>
      </c>
      <c r="R102" s="7" t="n">
        <f aca="false">IF(AND(F102&gt;=$B$4,F102&lt;=$B$5),MAX(0.7*F102-$B$3*H102,0.35*F102),0.35*F102)</f>
        <v>2.163</v>
      </c>
      <c r="S102" s="8" t="n">
        <f aca="false">O102*$B$6</f>
        <v>131.041562015419</v>
      </c>
      <c r="T102" s="24" t="n">
        <f aca="false">S102*R102</f>
        <v>283.442898639352</v>
      </c>
      <c r="U102" s="24" t="n">
        <f aca="false">P102*$B$6*R102</f>
        <v>170.065739183611</v>
      </c>
      <c r="V102" s="24" t="n">
        <f aca="false">Q102*$B$6*R102</f>
        <v>396.820058095092</v>
      </c>
      <c r="W102" s="6" t="s">
        <v>1160</v>
      </c>
    </row>
    <row r="103" customFormat="false" ht="15" hidden="false" customHeight="false" outlineLevel="0" collapsed="false">
      <c r="A103" s="20" t="str">
        <f aca="false">Charts_Snapshot!A95</f>
        <v>Affirmations|14</v>
      </c>
      <c r="B103" s="20" t="str">
        <f aca="false">Charts_Snapshot!B95</f>
        <v>Affirmations</v>
      </c>
      <c r="C103" s="20" t="n">
        <f aca="false">Charts_Snapshot!D95</f>
        <v>14</v>
      </c>
      <c r="D103" s="20" t="str">
        <f aca="false">Charts_Snapshot!E95</f>
        <v>El poder del ahora / The Power of Now: Un camino hacia la realizacion espiritual / A Guide to Spiritual Enlightenment (Spanish Edition)</v>
      </c>
      <c r="E103" s="20" t="str">
        <f aca="false">Charts_Snapshot!H95</f>
        <v>Traditional/established press</v>
      </c>
      <c r="F103" s="21" t="n">
        <f aca="false">Charts_Snapshot!J95</f>
        <v>9.03</v>
      </c>
      <c r="G103" s="22" t="n">
        <f aca="false">Charts_Snapshot!M95</f>
        <v>55618</v>
      </c>
      <c r="H103" s="20" t="n">
        <f aca="false">Charts_Snapshot!P95</f>
        <v>3.2</v>
      </c>
      <c r="I103" s="20" t="str">
        <f aca="false">Charts_Snapshot!N95</f>
        <v>N</v>
      </c>
      <c r="J103" s="6" t="n">
        <f aca="false">MIN(MATCH(G103,BSR_Table!$A$2:$A$14,1),12)</f>
        <v>10</v>
      </c>
      <c r="K103" s="8" t="n">
        <f aca="false">INDEX(BSR_Table!$A$2:$A$14,J103)</f>
        <v>50000</v>
      </c>
      <c r="L103" s="8" t="n">
        <f aca="false">INDEX(BSR_Table!$A$2:$A$14,J103+1)</f>
        <v>100000</v>
      </c>
      <c r="M103" s="23" t="n">
        <f aca="false">INDEX(BSR_Table!$B$2:$B$14,J103)</f>
        <v>4</v>
      </c>
      <c r="N103" s="23" t="n">
        <f aca="false">INDEX(BSR_Table!$B$2:$B$14,J103+1)</f>
        <v>1.5</v>
      </c>
      <c r="O103" s="10" t="n">
        <f aca="false">EXP(LN(M103)+(LN(G103)-LN(K103))*(LN(N103)-LN(M103))/(LN(L103)-LN(K103)))</f>
        <v>3.44049608438327</v>
      </c>
      <c r="P103" s="10" t="n">
        <f aca="false">O103*(1-$B$2)</f>
        <v>2.06429765062996</v>
      </c>
      <c r="Q103" s="10" t="n">
        <f aca="false">O103*(1+$B$2)</f>
        <v>4.81669451813658</v>
      </c>
      <c r="R103" s="7" t="n">
        <f aca="false">IF(AND(F103&gt;=$B$4,F103&lt;=$B$5),MAX(0.7*F103-$B$3*H103,0.35*F103),0.35*F103)</f>
        <v>5.841</v>
      </c>
      <c r="S103" s="8" t="n">
        <f aca="false">O103*$B$6</f>
        <v>103.214882531498</v>
      </c>
      <c r="T103" s="24" t="n">
        <f aca="false">S103*R103</f>
        <v>602.87812886648</v>
      </c>
      <c r="U103" s="24" t="n">
        <f aca="false">P103*$B$6*R103</f>
        <v>361.726877319888</v>
      </c>
      <c r="V103" s="24" t="n">
        <f aca="false">Q103*$B$6*R103</f>
        <v>844.029380413072</v>
      </c>
      <c r="W103" s="6" t="s">
        <v>1160</v>
      </c>
    </row>
    <row r="104" customFormat="false" ht="15" hidden="false" customHeight="false" outlineLevel="0" collapsed="false">
      <c r="A104" s="20" t="str">
        <f aca="false">Charts_Snapshot!A96</f>
        <v>Affirmations|15</v>
      </c>
      <c r="B104" s="20" t="str">
        <f aca="false">Charts_Snapshot!B96</f>
        <v>Affirmations</v>
      </c>
      <c r="C104" s="20" t="n">
        <f aca="false">Charts_Snapshot!D96</f>
        <v>15</v>
      </c>
      <c r="D104" s="20" t="str">
        <f aca="false">Charts_Snapshot!E96</f>
        <v>The Hero Code: Lessons Learned from Lives Well Lived</v>
      </c>
      <c r="E104" s="20" t="str">
        <f aca="false">Charts_Snapshot!H96</f>
        <v>Traditional/established press</v>
      </c>
      <c r="F104" s="21" t="n">
        <f aca="false">Charts_Snapshot!J96</f>
        <v>12.99</v>
      </c>
      <c r="G104" s="22" t="n">
        <f aca="false">Charts_Snapshot!M96</f>
        <v>63153</v>
      </c>
      <c r="H104" s="20" t="n">
        <f aca="false">Charts_Snapshot!P96</f>
        <v>0.74</v>
      </c>
      <c r="I104" s="20" t="str">
        <f aca="false">Charts_Snapshot!N96</f>
        <v>N</v>
      </c>
      <c r="J104" s="6" t="n">
        <f aca="false">MIN(MATCH(G104,BSR_Table!$A$2:$A$14,1),12)</f>
        <v>10</v>
      </c>
      <c r="K104" s="8" t="n">
        <f aca="false">INDEX(BSR_Table!$A$2:$A$14,J104)</f>
        <v>50000</v>
      </c>
      <c r="L104" s="8" t="n">
        <f aca="false">INDEX(BSR_Table!$A$2:$A$14,J104+1)</f>
        <v>100000</v>
      </c>
      <c r="M104" s="23" t="n">
        <f aca="false">INDEX(BSR_Table!$B$2:$B$14,J104)</f>
        <v>4</v>
      </c>
      <c r="N104" s="23" t="n">
        <f aca="false">INDEX(BSR_Table!$B$2:$B$14,J104+1)</f>
        <v>1.5</v>
      </c>
      <c r="O104" s="10" t="n">
        <f aca="false">EXP(LN(M104)+(LN(G104)-LN(K104))*(LN(N104)-LN(M104))/(LN(L104)-LN(K104)))</f>
        <v>2.87436061854192</v>
      </c>
      <c r="P104" s="10" t="n">
        <f aca="false">O104*(1-$B$2)</f>
        <v>1.72461637112515</v>
      </c>
      <c r="Q104" s="10" t="n">
        <f aca="false">O104*(1+$B$2)</f>
        <v>4.02410486595869</v>
      </c>
      <c r="R104" s="7" t="n">
        <f aca="false">IF(AND(F104&gt;=$B$4,F104&lt;=$B$5),MAX(0.7*F104-$B$3*H104,0.35*F104),0.35*F104)</f>
        <v>8.982</v>
      </c>
      <c r="S104" s="8" t="n">
        <f aca="false">O104*$B$6</f>
        <v>86.2308185562575</v>
      </c>
      <c r="T104" s="24" t="n">
        <f aca="false">S104*R104</f>
        <v>774.525212272305</v>
      </c>
      <c r="U104" s="24" t="n">
        <f aca="false">P104*$B$6*R104</f>
        <v>464.715127363383</v>
      </c>
      <c r="V104" s="24" t="n">
        <f aca="false">Q104*$B$6*R104</f>
        <v>1084.33529718123</v>
      </c>
      <c r="W104" s="6" t="s">
        <v>1160</v>
      </c>
    </row>
    <row r="105" customFormat="false" ht="15" hidden="false" customHeight="false" outlineLevel="0" collapsed="false">
      <c r="A105" s="20" t="str">
        <f aca="false">Charts_Snapshot!A97</f>
        <v>Affirmations|16</v>
      </c>
      <c r="B105" s="20" t="str">
        <f aca="false">Charts_Snapshot!B97</f>
        <v>Affirmations</v>
      </c>
      <c r="C105" s="20" t="n">
        <f aca="false">Charts_Snapshot!D97</f>
        <v>16</v>
      </c>
      <c r="D105" s="20" t="str">
        <f aca="false">Charts_Snapshot!E97</f>
        <v>You Can Heal Your Life</v>
      </c>
      <c r="E105" s="20" t="str">
        <f aca="false">Charts_Snapshot!H97</f>
        <v>Traditional/established press</v>
      </c>
      <c r="F105" s="21" t="n">
        <f aca="false">Charts_Snapshot!J97</f>
        <v>10.99</v>
      </c>
      <c r="G105" s="22" t="n">
        <f aca="false">Charts_Snapshot!M97</f>
        <v>64715</v>
      </c>
      <c r="H105" s="20" t="n">
        <f aca="false">Charts_Snapshot!P97</f>
        <v>2.5</v>
      </c>
      <c r="I105" s="20" t="str">
        <f aca="false">Charts_Snapshot!N97</f>
        <v>N</v>
      </c>
      <c r="J105" s="6" t="n">
        <f aca="false">MIN(MATCH(G105,BSR_Table!$A$2:$A$14,1),12)</f>
        <v>10</v>
      </c>
      <c r="K105" s="8" t="n">
        <f aca="false">INDEX(BSR_Table!$A$2:$A$14,J105)</f>
        <v>50000</v>
      </c>
      <c r="L105" s="8" t="n">
        <f aca="false">INDEX(BSR_Table!$A$2:$A$14,J105+1)</f>
        <v>100000</v>
      </c>
      <c r="M105" s="23" t="n">
        <f aca="false">INDEX(BSR_Table!$B$2:$B$14,J105)</f>
        <v>4</v>
      </c>
      <c r="N105" s="23" t="n">
        <f aca="false">INDEX(BSR_Table!$B$2:$B$14,J105+1)</f>
        <v>1.5</v>
      </c>
      <c r="O105" s="10" t="n">
        <f aca="false">EXP(LN(M105)+(LN(G105)-LN(K105))*(LN(N105)-LN(M105))/(LN(L105)-LN(K105)))</f>
        <v>2.77668320992995</v>
      </c>
      <c r="P105" s="10" t="n">
        <f aca="false">O105*(1-$B$2)</f>
        <v>1.66600992595797</v>
      </c>
      <c r="Q105" s="10" t="n">
        <f aca="false">O105*(1+$B$2)</f>
        <v>3.88735649390193</v>
      </c>
      <c r="R105" s="7" t="n">
        <f aca="false">IF(AND(F105&gt;=$B$4,F105&lt;=$B$5),MAX(0.7*F105-$B$3*H105,0.35*F105),0.35*F105)</f>
        <v>7.318</v>
      </c>
      <c r="S105" s="8" t="n">
        <f aca="false">O105*$B$6</f>
        <v>83.3004962978985</v>
      </c>
      <c r="T105" s="24" t="n">
        <f aca="false">S105*R105</f>
        <v>609.593031908021</v>
      </c>
      <c r="U105" s="24" t="n">
        <f aca="false">P105*$B$6*R105</f>
        <v>365.755819144813</v>
      </c>
      <c r="V105" s="24" t="n">
        <f aca="false">Q105*$B$6*R105</f>
        <v>853.43024467123</v>
      </c>
      <c r="W105" s="6" t="s">
        <v>1160</v>
      </c>
    </row>
    <row r="106" customFormat="false" ht="15" hidden="false" customHeight="false" outlineLevel="0" collapsed="false">
      <c r="A106" s="20" t="str">
        <f aca="false">Charts_Snapshot!A98</f>
        <v>Affirmations|17</v>
      </c>
      <c r="B106" s="20" t="str">
        <f aca="false">Charts_Snapshot!B98</f>
        <v>Affirmations</v>
      </c>
      <c r="C106" s="20" t="n">
        <f aca="false">Charts_Snapshot!D98</f>
        <v>17</v>
      </c>
      <c r="D106" s="20" t="str">
        <f aca="false">Charts_Snapshot!E98</f>
        <v>As a Man Thinketh | Complete and Annotated | Includes Commentary, Historical Context and the Life of James Allen</v>
      </c>
      <c r="E106" s="20" t="str">
        <f aca="false">Charts_Snapshot!H98</f>
        <v>Public-domain reprint</v>
      </c>
      <c r="F106" s="21" t="n">
        <f aca="false">Charts_Snapshot!J98</f>
        <v>0.99</v>
      </c>
      <c r="G106" s="22" t="n">
        <f aca="false">Charts_Snapshot!M98</f>
        <v>65559</v>
      </c>
      <c r="H106" s="20" t="n">
        <f aca="false">Charts_Snapshot!P98</f>
        <v>2.3</v>
      </c>
      <c r="I106" s="20" t="str">
        <f aca="false">Charts_Snapshot!N98</f>
        <v>N</v>
      </c>
      <c r="J106" s="6" t="n">
        <f aca="false">MIN(MATCH(G106,BSR_Table!$A$2:$A$14,1),12)</f>
        <v>10</v>
      </c>
      <c r="K106" s="8" t="n">
        <f aca="false">INDEX(BSR_Table!$A$2:$A$14,J106)</f>
        <v>50000</v>
      </c>
      <c r="L106" s="8" t="n">
        <f aca="false">INDEX(BSR_Table!$A$2:$A$14,J106+1)</f>
        <v>100000</v>
      </c>
      <c r="M106" s="23" t="n">
        <f aca="false">INDEX(BSR_Table!$B$2:$B$14,J106)</f>
        <v>4</v>
      </c>
      <c r="N106" s="23" t="n">
        <f aca="false">INDEX(BSR_Table!$B$2:$B$14,J106+1)</f>
        <v>1.5</v>
      </c>
      <c r="O106" s="10" t="n">
        <f aca="false">EXP(LN(M106)+(LN(G106)-LN(K106))*(LN(N106)-LN(M106))/(LN(L106)-LN(K106)))</f>
        <v>2.72623570738399</v>
      </c>
      <c r="P106" s="10" t="n">
        <f aca="false">O106*(1-$B$2)</f>
        <v>1.63574142443039</v>
      </c>
      <c r="Q106" s="10" t="n">
        <f aca="false">O106*(1+$B$2)</f>
        <v>3.81672999033758</v>
      </c>
      <c r="R106" s="7" t="n">
        <f aca="false">IF(AND(F106&gt;=$B$4,F106&lt;=$B$5),MAX(0.7*F106-$B$3*H106,0.35*F106),0.35*F106)</f>
        <v>0.3465</v>
      </c>
      <c r="S106" s="8" t="n">
        <f aca="false">O106*$B$6</f>
        <v>81.7870712215196</v>
      </c>
      <c r="T106" s="24" t="n">
        <f aca="false">S106*R106</f>
        <v>28.3392201782565</v>
      </c>
      <c r="U106" s="24" t="n">
        <f aca="false">P106*$B$6*R106</f>
        <v>17.0035321069539</v>
      </c>
      <c r="V106" s="24" t="n">
        <f aca="false">Q106*$B$6*R106</f>
        <v>39.6749082495591</v>
      </c>
      <c r="W106" s="6" t="s">
        <v>1160</v>
      </c>
    </row>
    <row r="107" customFormat="false" ht="15" hidden="false" customHeight="false" outlineLevel="0" collapsed="false">
      <c r="A107" s="20" t="str">
        <f aca="false">Charts_Snapshot!A99</f>
        <v>Affirmations|18</v>
      </c>
      <c r="B107" s="20" t="str">
        <f aca="false">Charts_Snapshot!B99</f>
        <v>Affirmations</v>
      </c>
      <c r="C107" s="20" t="n">
        <f aca="false">Charts_Snapshot!D99</f>
        <v>18</v>
      </c>
      <c r="D107" s="20" t="str">
        <f aca="false">Charts_Snapshot!E99</f>
        <v>The Game of Life &amp; How to Play It: A Guide to Divine Abundance</v>
      </c>
      <c r="E107" s="20" t="str">
        <f aca="false">Charts_Snapshot!H99</f>
        <v>Public-domain/derivative (inferred)</v>
      </c>
      <c r="F107" s="21" t="n">
        <f aca="false">Charts_Snapshot!J99</f>
        <v>1.99</v>
      </c>
      <c r="G107" s="22" t="n">
        <f aca="false">Charts_Snapshot!M99</f>
        <v>241864</v>
      </c>
      <c r="H107" s="20" t="n">
        <f aca="false">Charts_Snapshot!P99</f>
        <v>2.4</v>
      </c>
      <c r="I107" s="20" t="str">
        <f aca="false">Charts_Snapshot!N99</f>
        <v>Y</v>
      </c>
      <c r="J107" s="6" t="n">
        <f aca="false">MIN(MATCH(G107,BSR_Table!$A$2:$A$14,1),12)</f>
        <v>12</v>
      </c>
      <c r="K107" s="8" t="n">
        <f aca="false">INDEX(BSR_Table!$A$2:$A$14,J107)</f>
        <v>200000</v>
      </c>
      <c r="L107" s="8" t="n">
        <f aca="false">INDEX(BSR_Table!$A$2:$A$14,J107+1)</f>
        <v>500000</v>
      </c>
      <c r="M107" s="23" t="n">
        <f aca="false">INDEX(BSR_Table!$B$2:$B$14,J107)</f>
        <v>0.6</v>
      </c>
      <c r="N107" s="23" t="n">
        <f aca="false">INDEX(BSR_Table!$B$2:$B$14,J107+1)</f>
        <v>0.15</v>
      </c>
      <c r="O107" s="10" t="n">
        <f aca="false">EXP(LN(M107)+(LN(G107)-LN(K107))*(LN(N107)-LN(M107))/(LN(L107)-LN(K107)))</f>
        <v>0.450060794051925</v>
      </c>
      <c r="P107" s="10" t="n">
        <f aca="false">O107*(1-$B$2)</f>
        <v>0.270036476431155</v>
      </c>
      <c r="Q107" s="10" t="n">
        <f aca="false">O107*(1+$B$2)</f>
        <v>0.630085111672695</v>
      </c>
      <c r="R107" s="7" t="n">
        <f aca="false">IF(AND(F107&gt;=$B$4,F107&lt;=$B$5),MAX(0.7*F107-$B$3*H107,0.35*F107),0.35*F107)</f>
        <v>0.6965</v>
      </c>
      <c r="S107" s="8" t="n">
        <f aca="false">O107*$B$6</f>
        <v>13.5018238215578</v>
      </c>
      <c r="T107" s="24" t="n">
        <f aca="false">S107*R107</f>
        <v>9.40402029171498</v>
      </c>
      <c r="U107" s="24" t="n">
        <f aca="false">P107*$B$6*R107</f>
        <v>5.64241217502899</v>
      </c>
      <c r="V107" s="24" t="n">
        <f aca="false">Q107*$B$6*R107</f>
        <v>13.165628408401</v>
      </c>
      <c r="W107" s="6" t="s">
        <v>1160</v>
      </c>
    </row>
    <row r="108" customFormat="false" ht="15" hidden="false" customHeight="false" outlineLevel="0" collapsed="false">
      <c r="A108" s="20" t="str">
        <f aca="false">Charts_Snapshot!A100</f>
        <v>Affirmations|19</v>
      </c>
      <c r="B108" s="20" t="str">
        <f aca="false">Charts_Snapshot!B100</f>
        <v>Affirmations</v>
      </c>
      <c r="C108" s="20" t="n">
        <f aca="false">Charts_Snapshot!D100</f>
        <v>19</v>
      </c>
      <c r="D108" s="20" t="str">
        <f aca="false">Charts_Snapshot!E100</f>
        <v>Life Is Hard. God Is Good. Let's Dance.: Experiencing Real Joy in a World Gone Mad</v>
      </c>
      <c r="E108" s="20" t="str">
        <f aca="false">Charts_Snapshot!H100</f>
        <v>Traditional/established press</v>
      </c>
      <c r="F108" s="21" t="n">
        <f aca="false">Charts_Snapshot!J100</f>
        <v>12.99</v>
      </c>
      <c r="G108" s="22" t="n">
        <f aca="false">Charts_Snapshot!M100</f>
        <v>71968</v>
      </c>
      <c r="H108" s="20" t="n">
        <f aca="false">Charts_Snapshot!P100</f>
        <v>4.4</v>
      </c>
      <c r="I108" s="20" t="str">
        <f aca="false">Charts_Snapshot!N100</f>
        <v>Y</v>
      </c>
      <c r="J108" s="6" t="n">
        <f aca="false">MIN(MATCH(G108,BSR_Table!$A$2:$A$14,1),12)</f>
        <v>10</v>
      </c>
      <c r="K108" s="8" t="n">
        <f aca="false">INDEX(BSR_Table!$A$2:$A$14,J108)</f>
        <v>50000</v>
      </c>
      <c r="L108" s="8" t="n">
        <f aca="false">INDEX(BSR_Table!$A$2:$A$14,J108+1)</f>
        <v>100000</v>
      </c>
      <c r="M108" s="23" t="n">
        <f aca="false">INDEX(BSR_Table!$B$2:$B$14,J108)</f>
        <v>4</v>
      </c>
      <c r="N108" s="23" t="n">
        <f aca="false">INDEX(BSR_Table!$B$2:$B$14,J108+1)</f>
        <v>1.5</v>
      </c>
      <c r="O108" s="10" t="n">
        <f aca="false">EXP(LN(M108)+(LN(G108)-LN(K108))*(LN(N108)-LN(M108))/(LN(L108)-LN(K108)))</f>
        <v>2.38915495209845</v>
      </c>
      <c r="P108" s="10" t="n">
        <f aca="false">O108*(1-$B$2)</f>
        <v>1.43349297125907</v>
      </c>
      <c r="Q108" s="10" t="n">
        <f aca="false">O108*(1+$B$2)</f>
        <v>3.34481693293782</v>
      </c>
      <c r="R108" s="7" t="n">
        <f aca="false">IF(AND(F108&gt;=$B$4,F108&lt;=$B$5),MAX(0.7*F108-$B$3*H108,0.35*F108),0.35*F108)</f>
        <v>8.433</v>
      </c>
      <c r="S108" s="8" t="n">
        <f aca="false">O108*$B$6</f>
        <v>71.6746485629534</v>
      </c>
      <c r="T108" s="24" t="n">
        <f aca="false">S108*R108</f>
        <v>604.432311331386</v>
      </c>
      <c r="U108" s="24" t="n">
        <f aca="false">P108*$B$6*R108</f>
        <v>362.659386798831</v>
      </c>
      <c r="V108" s="24" t="n">
        <f aca="false">Q108*$B$6*R108</f>
        <v>846.20523586394</v>
      </c>
      <c r="W108" s="6" t="s">
        <v>1160</v>
      </c>
    </row>
    <row r="109" customFormat="false" ht="15" hidden="false" customHeight="false" outlineLevel="0" collapsed="false">
      <c r="A109" s="20" t="str">
        <f aca="false">Charts_Snapshot!A101</f>
        <v>Affirmations|20</v>
      </c>
      <c r="B109" s="20" t="str">
        <f aca="false">Charts_Snapshot!B101</f>
        <v>Affirmations</v>
      </c>
      <c r="C109" s="20" t="n">
        <f aca="false">Charts_Snapshot!D101</f>
        <v>20</v>
      </c>
      <c r="D109" s="20" t="str">
        <f aca="false">Charts_Snapshot!E101</f>
        <v>Stop Doing That Sh*t: End Self-Sabotage and Demand Your Life Back (Unfu*k Yourself series Book 2)</v>
      </c>
      <c r="E109" s="20" t="str">
        <f aca="false">Charts_Snapshot!H101</f>
        <v>Traditional/established press</v>
      </c>
      <c r="F109" s="21" t="n">
        <f aca="false">Charts_Snapshot!J101</f>
        <v>14.99</v>
      </c>
      <c r="G109" s="22" t="n">
        <f aca="false">Charts_Snapshot!M101</f>
        <v>75119</v>
      </c>
      <c r="H109" s="20" t="n">
        <f aca="false">Charts_Snapshot!P101</f>
        <v>3.3</v>
      </c>
      <c r="I109" s="20" t="str">
        <f aca="false">Charts_Snapshot!N101</f>
        <v>Y</v>
      </c>
      <c r="J109" s="6" t="n">
        <f aca="false">MIN(MATCH(G109,BSR_Table!$A$2:$A$14,1),12)</f>
        <v>10</v>
      </c>
      <c r="K109" s="8" t="n">
        <f aca="false">INDEX(BSR_Table!$A$2:$A$14,J109)</f>
        <v>50000</v>
      </c>
      <c r="L109" s="8" t="n">
        <f aca="false">INDEX(BSR_Table!$A$2:$A$14,J109+1)</f>
        <v>100000</v>
      </c>
      <c r="M109" s="23" t="n">
        <f aca="false">INDEX(BSR_Table!$B$2:$B$14,J109)</f>
        <v>4</v>
      </c>
      <c r="N109" s="23" t="n">
        <f aca="false">INDEX(BSR_Table!$B$2:$B$14,J109+1)</f>
        <v>1.5</v>
      </c>
      <c r="O109" s="10" t="n">
        <f aca="false">EXP(LN(M109)+(LN(G109)-LN(K109))*(LN(N109)-LN(M109))/(LN(L109)-LN(K109)))</f>
        <v>2.24858834022171</v>
      </c>
      <c r="P109" s="10" t="n">
        <f aca="false">O109*(1-$B$2)</f>
        <v>1.34915300413302</v>
      </c>
      <c r="Q109" s="10" t="n">
        <f aca="false">O109*(1+$B$2)</f>
        <v>3.14802367631039</v>
      </c>
      <c r="R109" s="7" t="n">
        <f aca="false">IF(AND(F109&gt;=$B$4,F109&lt;=$B$5),MAX(0.7*F109-$B$3*H109,0.35*F109),0.35*F109)</f>
        <v>5.2465</v>
      </c>
      <c r="S109" s="8" t="n">
        <f aca="false">O109*$B$6</f>
        <v>67.4576502066512</v>
      </c>
      <c r="T109" s="24" t="n">
        <f aca="false">S109*R109</f>
        <v>353.916561809195</v>
      </c>
      <c r="U109" s="24" t="n">
        <f aca="false">P109*$B$6*R109</f>
        <v>212.349937085517</v>
      </c>
      <c r="V109" s="24" t="n">
        <f aca="false">Q109*$B$6*R109</f>
        <v>495.483186532874</v>
      </c>
      <c r="W109" s="6" t="s">
        <v>1160</v>
      </c>
    </row>
    <row r="110" customFormat="false" ht="15" hidden="false" customHeight="false" outlineLevel="0" collapsed="false">
      <c r="A110" s="20" t="str">
        <f aca="false">Charts_Snapshot!A102</f>
        <v>Journaling|1</v>
      </c>
      <c r="B110" s="20" t="str">
        <f aca="false">Charts_Snapshot!B102</f>
        <v>Journaling</v>
      </c>
      <c r="C110" s="20" t="n">
        <f aca="false">Charts_Snapshot!D102</f>
        <v>1</v>
      </c>
      <c r="D110" s="20" t="str">
        <f aca="false">Charts_Snapshot!E102</f>
        <v>The Overthinker's Guide to Making Decisions: How to Make Decisions without Losing Your Mind (Books By Joseph Nguyen)</v>
      </c>
      <c r="E110" s="20" t="str">
        <f aca="false">Charts_Snapshot!H102</f>
        <v>Traditional/established press</v>
      </c>
      <c r="F110" s="21" t="n">
        <f aca="false">Charts_Snapshot!J102</f>
        <v>1.99</v>
      </c>
      <c r="G110" s="22" t="n">
        <f aca="false">Charts_Snapshot!M102</f>
        <v>2468</v>
      </c>
      <c r="H110" s="20" t="n">
        <f aca="false">Charts_Snapshot!P102</f>
        <v>0.91</v>
      </c>
      <c r="I110" s="20" t="str">
        <f aca="false">Charts_Snapshot!N102</f>
        <v>N</v>
      </c>
      <c r="J110" s="6" t="n">
        <f aca="false">MIN(MATCH(G110,BSR_Table!$A$2:$A$14,1),12)</f>
        <v>6</v>
      </c>
      <c r="K110" s="8" t="n">
        <f aca="false">INDEX(BSR_Table!$A$2:$A$14,J110)</f>
        <v>2000</v>
      </c>
      <c r="L110" s="8" t="n">
        <f aca="false">INDEX(BSR_Table!$A$2:$A$14,J110+1)</f>
        <v>5000</v>
      </c>
      <c r="M110" s="23" t="n">
        <f aca="false">INDEX(BSR_Table!$B$2:$B$14,J110)</f>
        <v>65</v>
      </c>
      <c r="N110" s="23" t="n">
        <f aca="false">INDEX(BSR_Table!$B$2:$B$14,J110+1)</f>
        <v>30</v>
      </c>
      <c r="O110" s="10" t="n">
        <f aca="false">EXP(LN(M110)+(LN(G110)-LN(K110))*(LN(N110)-LN(M110))/(LN(L110)-LN(K110)))</f>
        <v>54.4326221922833</v>
      </c>
      <c r="P110" s="10" t="n">
        <f aca="false">O110*(1-$B$2)</f>
        <v>32.65957331537</v>
      </c>
      <c r="Q110" s="10" t="n">
        <f aca="false">O110*(1+$B$2)</f>
        <v>76.2056710691966</v>
      </c>
      <c r="R110" s="7" t="n">
        <f aca="false">IF(AND(F110&gt;=$B$4,F110&lt;=$B$5),MAX(0.7*F110-$B$3*H110,0.35*F110),0.35*F110)</f>
        <v>0.6965</v>
      </c>
      <c r="S110" s="8" t="n">
        <f aca="false">O110*$B$6</f>
        <v>1632.9786657685</v>
      </c>
      <c r="T110" s="24" t="n">
        <f aca="false">S110*R110</f>
        <v>1137.36964070776</v>
      </c>
      <c r="U110" s="24" t="n">
        <f aca="false">P110*$B$6*R110</f>
        <v>682.421784424656</v>
      </c>
      <c r="V110" s="24" t="n">
        <f aca="false">Q110*$B$6*R110</f>
        <v>1592.31749699086</v>
      </c>
      <c r="W110" s="6" t="s">
        <v>1160</v>
      </c>
    </row>
    <row r="111" customFormat="false" ht="15" hidden="false" customHeight="false" outlineLevel="0" collapsed="false">
      <c r="A111" s="20" t="str">
        <f aca="false">Charts_Snapshot!A103</f>
        <v>Journaling|2</v>
      </c>
      <c r="B111" s="20" t="str">
        <f aca="false">Charts_Snapshot!B103</f>
        <v>Journaling</v>
      </c>
      <c r="C111" s="20" t="n">
        <f aca="false">Charts_Snapshot!D103</f>
        <v>2</v>
      </c>
      <c r="D111" s="20" t="str">
        <f aca="false">Charts_Snapshot!E103</f>
        <v>The Book of Alchemy: A Creative Practice for an Inspired Life</v>
      </c>
      <c r="E111" s="20" t="str">
        <f aca="false">Charts_Snapshot!H103</f>
        <v>Traditional/established press</v>
      </c>
      <c r="F111" s="21" t="n">
        <f aca="false">Charts_Snapshot!J103</f>
        <v>12.99</v>
      </c>
      <c r="G111" s="22" t="n">
        <f aca="false">Charts_Snapshot!M103</f>
        <v>15771</v>
      </c>
      <c r="H111" s="20" t="n">
        <f aca="false">Charts_Snapshot!P103</f>
        <v>4.5</v>
      </c>
      <c r="I111" s="20" t="str">
        <f aca="false">Charts_Snapshot!N103</f>
        <v>N</v>
      </c>
      <c r="J111" s="6" t="n">
        <f aca="false">MIN(MATCH(G111,BSR_Table!$A$2:$A$14,1),12)</f>
        <v>8</v>
      </c>
      <c r="K111" s="8" t="n">
        <f aca="false">INDEX(BSR_Table!$A$2:$A$14,J111)</f>
        <v>10000</v>
      </c>
      <c r="L111" s="8" t="n">
        <f aca="false">INDEX(BSR_Table!$A$2:$A$14,J111+1)</f>
        <v>20000</v>
      </c>
      <c r="M111" s="23" t="n">
        <f aca="false">INDEX(BSR_Table!$B$2:$B$14,J111)</f>
        <v>20</v>
      </c>
      <c r="N111" s="23" t="n">
        <f aca="false">INDEX(BSR_Table!$B$2:$B$14,J111+1)</f>
        <v>10</v>
      </c>
      <c r="O111" s="10" t="n">
        <f aca="false">EXP(LN(M111)+(LN(G111)-LN(K111))*(LN(N111)-LN(M111))/(LN(L111)-LN(K111)))</f>
        <v>12.6815040263775</v>
      </c>
      <c r="P111" s="10" t="n">
        <f aca="false">O111*(1-$B$2)</f>
        <v>7.60890241582651</v>
      </c>
      <c r="Q111" s="10" t="n">
        <f aca="false">O111*(1+$B$2)</f>
        <v>17.7541056369285</v>
      </c>
      <c r="R111" s="7" t="n">
        <f aca="false">IF(AND(F111&gt;=$B$4,F111&lt;=$B$5),MAX(0.7*F111-$B$3*H111,0.35*F111),0.35*F111)</f>
        <v>8.418</v>
      </c>
      <c r="S111" s="8" t="n">
        <f aca="false">O111*$B$6</f>
        <v>380.445120791326</v>
      </c>
      <c r="T111" s="24" t="n">
        <f aca="false">S111*R111</f>
        <v>3202.58702682138</v>
      </c>
      <c r="U111" s="24" t="n">
        <f aca="false">P111*$B$6*R111</f>
        <v>1921.55221609283</v>
      </c>
      <c r="V111" s="24" t="n">
        <f aca="false">Q111*$B$6*R111</f>
        <v>4483.62183754993</v>
      </c>
      <c r="W111" s="6" t="s">
        <v>1160</v>
      </c>
    </row>
    <row r="112" customFormat="false" ht="15" hidden="false" customHeight="false" outlineLevel="0" collapsed="false">
      <c r="A112" s="20" t="str">
        <f aca="false">Charts_Snapshot!A104</f>
        <v>Journaling|3</v>
      </c>
      <c r="B112" s="20" t="str">
        <f aca="false">Charts_Snapshot!B104</f>
        <v>Journaling</v>
      </c>
      <c r="C112" s="20" t="n">
        <f aca="false">Charts_Snapshot!D104</f>
        <v>3</v>
      </c>
      <c r="D112" s="20" t="str">
        <f aca="false">Charts_Snapshot!E104</f>
        <v>SNR: A dated six-year multilingual (FR/EN/AR) reflection journal (French Edition)</v>
      </c>
      <c r="E112" s="20" t="str">
        <f aca="false">Charts_Snapshot!H104</f>
        <v>Indie (no publisher listed)</v>
      </c>
      <c r="F112" s="21" t="n">
        <f aca="false">Charts_Snapshot!J104</f>
        <v>4.99</v>
      </c>
      <c r="G112" s="22" t="n">
        <f aca="false">Charts_Snapshot!M104</f>
        <v>15931</v>
      </c>
      <c r="H112" s="20" t="n">
        <f aca="false">Charts_Snapshot!P104</f>
        <v>2.9</v>
      </c>
      <c r="I112" s="20" t="str">
        <f aca="false">Charts_Snapshot!N104</f>
        <v>Y</v>
      </c>
      <c r="J112" s="6" t="n">
        <f aca="false">MIN(MATCH(G112,BSR_Table!$A$2:$A$14,1),12)</f>
        <v>8</v>
      </c>
      <c r="K112" s="8" t="n">
        <f aca="false">INDEX(BSR_Table!$A$2:$A$14,J112)</f>
        <v>10000</v>
      </c>
      <c r="L112" s="8" t="n">
        <f aca="false">INDEX(BSR_Table!$A$2:$A$14,J112+1)</f>
        <v>20000</v>
      </c>
      <c r="M112" s="23" t="n">
        <f aca="false">INDEX(BSR_Table!$B$2:$B$14,J112)</f>
        <v>20</v>
      </c>
      <c r="N112" s="23" t="n">
        <f aca="false">INDEX(BSR_Table!$B$2:$B$14,J112+1)</f>
        <v>10</v>
      </c>
      <c r="O112" s="10" t="n">
        <f aca="false">EXP(LN(M112)+(LN(G112)-LN(K112))*(LN(N112)-LN(M112))/(LN(L112)-LN(K112)))</f>
        <v>12.5541397275752</v>
      </c>
      <c r="P112" s="10" t="n">
        <f aca="false">O112*(1-$B$2)</f>
        <v>7.5324838365451</v>
      </c>
      <c r="Q112" s="10" t="n">
        <f aca="false">O112*(1+$B$2)</f>
        <v>17.5757956186052</v>
      </c>
      <c r="R112" s="7" t="n">
        <f aca="false">IF(AND(F112&gt;=$B$4,F112&lt;=$B$5),MAX(0.7*F112-$B$3*H112,0.35*F112),0.35*F112)</f>
        <v>3.058</v>
      </c>
      <c r="S112" s="8" t="n">
        <f aca="false">O112*$B$6</f>
        <v>376.624191827255</v>
      </c>
      <c r="T112" s="24" t="n">
        <f aca="false">S112*R112</f>
        <v>1151.71677860775</v>
      </c>
      <c r="U112" s="24" t="n">
        <f aca="false">P112*$B$6*R112</f>
        <v>691.030067164648</v>
      </c>
      <c r="V112" s="24" t="n">
        <f aca="false">Q112*$B$6*R112</f>
        <v>1612.40349005084</v>
      </c>
      <c r="W112" s="6" t="s">
        <v>1160</v>
      </c>
    </row>
    <row r="113" customFormat="false" ht="15" hidden="false" customHeight="false" outlineLevel="0" collapsed="false">
      <c r="A113" s="20" t="str">
        <f aca="false">Charts_Snapshot!A105</f>
        <v>Journaling|4</v>
      </c>
      <c r="B113" s="20" t="str">
        <f aca="false">Charts_Snapshot!B105</f>
        <v>Journaling</v>
      </c>
      <c r="C113" s="20" t="n">
        <f aca="false">Charts_Snapshot!D105</f>
        <v>4</v>
      </c>
      <c r="D113" s="20" t="str">
        <f aca="false">Charts_Snapshot!E105</f>
        <v>The 5 Levels of Leadership: Proven Steps to Maximize Your Potential</v>
      </c>
      <c r="E113" s="20" t="str">
        <f aca="false">Charts_Snapshot!H105</f>
        <v>Traditional/established press</v>
      </c>
      <c r="F113" s="21" t="n">
        <f aca="false">Charts_Snapshot!J105</f>
        <v>2.99</v>
      </c>
      <c r="G113" s="22" t="n">
        <f aca="false">Charts_Snapshot!M105</f>
        <v>18779</v>
      </c>
      <c r="H113" s="20" t="n">
        <f aca="false">Charts_Snapshot!P105</f>
        <v>1.3</v>
      </c>
      <c r="I113" s="20" t="str">
        <f aca="false">Charts_Snapshot!N105</f>
        <v>N</v>
      </c>
      <c r="J113" s="6" t="n">
        <f aca="false">MIN(MATCH(G113,BSR_Table!$A$2:$A$14,1),12)</f>
        <v>8</v>
      </c>
      <c r="K113" s="8" t="n">
        <f aca="false">INDEX(BSR_Table!$A$2:$A$14,J113)</f>
        <v>10000</v>
      </c>
      <c r="L113" s="8" t="n">
        <f aca="false">INDEX(BSR_Table!$A$2:$A$14,J113+1)</f>
        <v>20000</v>
      </c>
      <c r="M113" s="23" t="n">
        <f aca="false">INDEX(BSR_Table!$B$2:$B$14,J113)</f>
        <v>20</v>
      </c>
      <c r="N113" s="23" t="n">
        <f aca="false">INDEX(BSR_Table!$B$2:$B$14,J113+1)</f>
        <v>10</v>
      </c>
      <c r="O113" s="10" t="n">
        <f aca="false">EXP(LN(M113)+(LN(G113)-LN(K113))*(LN(N113)-LN(M113))/(LN(L113)-LN(K113)))</f>
        <v>10.6501943660472</v>
      </c>
      <c r="P113" s="10" t="n">
        <f aca="false">O113*(1-$B$2)</f>
        <v>6.3901166196283</v>
      </c>
      <c r="Q113" s="10" t="n">
        <f aca="false">O113*(1+$B$2)</f>
        <v>14.910272112466</v>
      </c>
      <c r="R113" s="7" t="n">
        <f aca="false">IF(AND(F113&gt;=$B$4,F113&lt;=$B$5),MAX(0.7*F113-$B$3*H113,0.35*F113),0.35*F113)</f>
        <v>1.898</v>
      </c>
      <c r="S113" s="8" t="n">
        <f aca="false">O113*$B$6</f>
        <v>319.505830981415</v>
      </c>
      <c r="T113" s="24" t="n">
        <f aca="false">S113*R113</f>
        <v>606.422067202726</v>
      </c>
      <c r="U113" s="24" t="n">
        <f aca="false">P113*$B$6*R113</f>
        <v>363.853240321635</v>
      </c>
      <c r="V113" s="24" t="n">
        <f aca="false">Q113*$B$6*R113</f>
        <v>848.990894083816</v>
      </c>
      <c r="W113" s="6" t="s">
        <v>1160</v>
      </c>
    </row>
    <row r="114" customFormat="false" ht="15" hidden="false" customHeight="false" outlineLevel="0" collapsed="false">
      <c r="A114" s="20" t="str">
        <f aca="false">Charts_Snapshot!A106</f>
        <v>Journaling|5</v>
      </c>
      <c r="B114" s="20" t="str">
        <f aca="false">Charts_Snapshot!B106</f>
        <v>Journaling</v>
      </c>
      <c r="C114" s="20" t="n">
        <f aca="false">Charts_Snapshot!D106</f>
        <v>5</v>
      </c>
      <c r="D114" s="20" t="str">
        <f aca="false">Charts_Snapshot!E106</f>
        <v>NIV, Beautiful Word Bible, Updated Edition: 600+ Full-Color Illustrated Verses</v>
      </c>
      <c r="E114" s="20" t="str">
        <f aca="false">Charts_Snapshot!H106</f>
        <v>Traditional/established press</v>
      </c>
      <c r="F114" s="21" t="n">
        <f aca="false">Charts_Snapshot!J106</f>
        <v>22.99</v>
      </c>
      <c r="G114" s="22" t="n">
        <f aca="false">Charts_Snapshot!M106</f>
        <v>29049</v>
      </c>
      <c r="H114" s="20" t="n">
        <f aca="false">Charts_Snapshot!P106</f>
        <v>102.5</v>
      </c>
      <c r="I114" s="20" t="str">
        <f aca="false">Charts_Snapshot!N106</f>
        <v>Y</v>
      </c>
      <c r="J114" s="6" t="n">
        <f aca="false">MIN(MATCH(G114,BSR_Table!$A$2:$A$14,1),12)</f>
        <v>9</v>
      </c>
      <c r="K114" s="8" t="n">
        <f aca="false">INDEX(BSR_Table!$A$2:$A$14,J114)</f>
        <v>20000</v>
      </c>
      <c r="L114" s="8" t="n">
        <f aca="false">INDEX(BSR_Table!$A$2:$A$14,J114+1)</f>
        <v>50000</v>
      </c>
      <c r="M114" s="23" t="n">
        <f aca="false">INDEX(BSR_Table!$B$2:$B$14,J114)</f>
        <v>10</v>
      </c>
      <c r="N114" s="23" t="n">
        <f aca="false">INDEX(BSR_Table!$B$2:$B$14,J114+1)</f>
        <v>4</v>
      </c>
      <c r="O114" s="10" t="n">
        <f aca="false">EXP(LN(M114)+(LN(G114)-LN(K114))*(LN(N114)-LN(M114))/(LN(L114)-LN(K114)))</f>
        <v>6.88491858583773</v>
      </c>
      <c r="P114" s="10" t="n">
        <f aca="false">O114*(1-$B$2)</f>
        <v>4.13095115150264</v>
      </c>
      <c r="Q114" s="10" t="n">
        <f aca="false">O114*(1+$B$2)</f>
        <v>9.63888602017282</v>
      </c>
      <c r="R114" s="7" t="n">
        <f aca="false">IF(AND(F114&gt;=$B$4,F114&lt;=$B$5),MAX(0.7*F114-$B$3*H114,0.35*F114),0.35*F114)</f>
        <v>8.0465</v>
      </c>
      <c r="S114" s="8" t="n">
        <f aca="false">O114*$B$6</f>
        <v>206.547557575132</v>
      </c>
      <c r="T114" s="24" t="n">
        <f aca="false">S114*R114</f>
        <v>1661.9849220283</v>
      </c>
      <c r="U114" s="24" t="n">
        <f aca="false">P114*$B$6*R114</f>
        <v>997.190953216978</v>
      </c>
      <c r="V114" s="24" t="n">
        <f aca="false">Q114*$B$6*R114</f>
        <v>2326.77889083962</v>
      </c>
      <c r="W114" s="6" t="s">
        <v>1160</v>
      </c>
    </row>
    <row r="115" customFormat="false" ht="15" hidden="false" customHeight="false" outlineLevel="0" collapsed="false">
      <c r="A115" s="20" t="str">
        <f aca="false">Charts_Snapshot!A107</f>
        <v>Journaling|6</v>
      </c>
      <c r="B115" s="20" t="str">
        <f aca="false">Charts_Snapshot!B107</f>
        <v>Journaling</v>
      </c>
      <c r="C115" s="20" t="n">
        <f aca="false">Charts_Snapshot!D107</f>
        <v>6</v>
      </c>
      <c r="D115" s="20" t="str">
        <f aca="false">Charts_Snapshot!E107</f>
        <v>The Creative Cure: How Finding and Freeing Your Inner Artist Can Heal Your Life (Hierophant Creative Healing)</v>
      </c>
      <c r="E115" s="20" t="str">
        <f aca="false">Charts_Snapshot!H107</f>
        <v>Traditional/established press</v>
      </c>
      <c r="F115" s="21" t="n">
        <f aca="false">Charts_Snapshot!J107</f>
        <v>0.99</v>
      </c>
      <c r="G115" s="22" t="n">
        <f aca="false">Charts_Snapshot!M107</f>
        <v>29062</v>
      </c>
      <c r="H115" s="20" t="n">
        <f aca="false">Charts_Snapshot!P107</f>
        <v>0.67</v>
      </c>
      <c r="I115" s="20" t="str">
        <f aca="false">Charts_Snapshot!N107</f>
        <v>N</v>
      </c>
      <c r="J115" s="6" t="n">
        <f aca="false">MIN(MATCH(G115,BSR_Table!$A$2:$A$14,1),12)</f>
        <v>9</v>
      </c>
      <c r="K115" s="8" t="n">
        <f aca="false">INDEX(BSR_Table!$A$2:$A$14,J115)</f>
        <v>20000</v>
      </c>
      <c r="L115" s="8" t="n">
        <f aca="false">INDEX(BSR_Table!$A$2:$A$14,J115+1)</f>
        <v>50000</v>
      </c>
      <c r="M115" s="23" t="n">
        <f aca="false">INDEX(BSR_Table!$B$2:$B$14,J115)</f>
        <v>10</v>
      </c>
      <c r="N115" s="23" t="n">
        <f aca="false">INDEX(BSR_Table!$B$2:$B$14,J115+1)</f>
        <v>4</v>
      </c>
      <c r="O115" s="10" t="n">
        <f aca="false">EXP(LN(M115)+(LN(G115)-LN(K115))*(LN(N115)-LN(M115))/(LN(L115)-LN(K115)))</f>
        <v>6.88183882733467</v>
      </c>
      <c r="P115" s="10" t="n">
        <f aca="false">O115*(1-$B$2)</f>
        <v>4.1291032964008</v>
      </c>
      <c r="Q115" s="10" t="n">
        <f aca="false">O115*(1+$B$2)</f>
        <v>9.63457435826853</v>
      </c>
      <c r="R115" s="7" t="n">
        <f aca="false">IF(AND(F115&gt;=$B$4,F115&lt;=$B$5),MAX(0.7*F115-$B$3*H115,0.35*F115),0.35*F115)</f>
        <v>0.3465</v>
      </c>
      <c r="S115" s="8" t="n">
        <f aca="false">O115*$B$6</f>
        <v>206.45516482004</v>
      </c>
      <c r="T115" s="24" t="n">
        <f aca="false">S115*R115</f>
        <v>71.5367146101439</v>
      </c>
      <c r="U115" s="24" t="n">
        <f aca="false">P115*$B$6*R115</f>
        <v>42.9220287660863</v>
      </c>
      <c r="V115" s="24" t="n">
        <f aca="false">Q115*$B$6*R115</f>
        <v>100.151400454201</v>
      </c>
      <c r="W115" s="6" t="s">
        <v>1160</v>
      </c>
    </row>
    <row r="116" customFormat="false" ht="15" hidden="false" customHeight="false" outlineLevel="0" collapsed="false">
      <c r="A116" s="20" t="str">
        <f aca="false">Charts_Snapshot!A108</f>
        <v>Journaling|7</v>
      </c>
      <c r="B116" s="20" t="str">
        <f aca="false">Charts_Snapshot!B108</f>
        <v>Journaling</v>
      </c>
      <c r="C116" s="20" t="n">
        <f aca="false">Charts_Snapshot!D108</f>
        <v>7</v>
      </c>
      <c r="D116" s="20" t="str">
        <f aca="false">Charts_Snapshot!E108</f>
        <v>The Internal Family Systems Workbook: A Guide to Discover Your Self and Heal Your Parts (Sounds True Inner Workbooks)</v>
      </c>
      <c r="E116" s="20" t="str">
        <f aca="false">Charts_Snapshot!H108</f>
        <v>Traditional/established press</v>
      </c>
      <c r="F116" s="21" t="n">
        <f aca="false">Charts_Snapshot!J108</f>
        <v>12.99</v>
      </c>
      <c r="G116" s="22" t="n">
        <f aca="false">Charts_Snapshot!M108</f>
        <v>33979</v>
      </c>
      <c r="H116" s="20" t="n">
        <f aca="false">Charts_Snapshot!P108</f>
        <v>1.8</v>
      </c>
      <c r="I116" s="20" t="str">
        <f aca="false">Charts_Snapshot!N108</f>
        <v>Y</v>
      </c>
      <c r="J116" s="6" t="n">
        <f aca="false">MIN(MATCH(G116,BSR_Table!$A$2:$A$14,1),12)</f>
        <v>9</v>
      </c>
      <c r="K116" s="8" t="n">
        <f aca="false">INDEX(BSR_Table!$A$2:$A$14,J116)</f>
        <v>20000</v>
      </c>
      <c r="L116" s="8" t="n">
        <f aca="false">INDEX(BSR_Table!$A$2:$A$14,J116+1)</f>
        <v>50000</v>
      </c>
      <c r="M116" s="23" t="n">
        <f aca="false">INDEX(BSR_Table!$B$2:$B$14,J116)</f>
        <v>10</v>
      </c>
      <c r="N116" s="23" t="n">
        <f aca="false">INDEX(BSR_Table!$B$2:$B$14,J116+1)</f>
        <v>4</v>
      </c>
      <c r="O116" s="10" t="n">
        <f aca="false">EXP(LN(M116)+(LN(G116)-LN(K116))*(LN(N116)-LN(M116))/(LN(L116)-LN(K116)))</f>
        <v>5.88598840460284</v>
      </c>
      <c r="P116" s="10" t="n">
        <f aca="false">O116*(1-$B$2)</f>
        <v>3.5315930427617</v>
      </c>
      <c r="Q116" s="10" t="n">
        <f aca="false">O116*(1+$B$2)</f>
        <v>8.24038376644398</v>
      </c>
      <c r="R116" s="7" t="n">
        <f aca="false">IF(AND(F116&gt;=$B$4,F116&lt;=$B$5),MAX(0.7*F116-$B$3*H116,0.35*F116),0.35*F116)</f>
        <v>8.823</v>
      </c>
      <c r="S116" s="8" t="n">
        <f aca="false">O116*$B$6</f>
        <v>176.579652138085</v>
      </c>
      <c r="T116" s="24" t="n">
        <f aca="false">S116*R116</f>
        <v>1557.96227081433</v>
      </c>
      <c r="U116" s="24" t="n">
        <f aca="false">P116*$B$6*R116</f>
        <v>934.777362488595</v>
      </c>
      <c r="V116" s="24" t="n">
        <f aca="false">Q116*$B$6*R116</f>
        <v>2181.14717914006</v>
      </c>
      <c r="W116" s="6" t="s">
        <v>1160</v>
      </c>
    </row>
    <row r="117" customFormat="false" ht="15" hidden="false" customHeight="false" outlineLevel="0" collapsed="false">
      <c r="A117" s="20" t="str">
        <f aca="false">Charts_Snapshot!A109</f>
        <v>Journaling|8</v>
      </c>
      <c r="B117" s="20" t="str">
        <f aca="false">Charts_Snapshot!B109</f>
        <v>Journaling</v>
      </c>
      <c r="C117" s="20" t="n">
        <f aca="false">Charts_Snapshot!D109</f>
        <v>8</v>
      </c>
      <c r="D117" s="20" t="str">
        <f aca="false">Charts_Snapshot!E109</f>
        <v>365 Journal Prompts: Daily Writing Prompts for Personal Development Self-Reflection and Future Vision</v>
      </c>
      <c r="E117" s="20" t="str">
        <f aca="false">Charts_Snapshot!H109</f>
        <v>Indie (no publisher listed)</v>
      </c>
      <c r="F117" s="21" t="n">
        <f aca="false">Charts_Snapshot!J109</f>
        <v>2.99</v>
      </c>
      <c r="G117" s="22" t="n">
        <f aca="false">Charts_Snapshot!M109</f>
        <v>44826</v>
      </c>
      <c r="H117" s="20" t="n">
        <f aca="false">Charts_Snapshot!P109</f>
        <v>0.46</v>
      </c>
      <c r="I117" s="20" t="str">
        <f aca="false">Charts_Snapshot!N109</f>
        <v>Y</v>
      </c>
      <c r="J117" s="6" t="n">
        <f aca="false">MIN(MATCH(G117,BSR_Table!$A$2:$A$14,1),12)</f>
        <v>9</v>
      </c>
      <c r="K117" s="8" t="n">
        <f aca="false">INDEX(BSR_Table!$A$2:$A$14,J117)</f>
        <v>20000</v>
      </c>
      <c r="L117" s="8" t="n">
        <f aca="false">INDEX(BSR_Table!$A$2:$A$14,J117+1)</f>
        <v>50000</v>
      </c>
      <c r="M117" s="23" t="n">
        <f aca="false">INDEX(BSR_Table!$B$2:$B$14,J117)</f>
        <v>10</v>
      </c>
      <c r="N117" s="23" t="n">
        <f aca="false">INDEX(BSR_Table!$B$2:$B$14,J117+1)</f>
        <v>4</v>
      </c>
      <c r="O117" s="10" t="n">
        <f aca="false">EXP(LN(M117)+(LN(G117)-LN(K117))*(LN(N117)-LN(M117))/(LN(L117)-LN(K117)))</f>
        <v>4.46169633694731</v>
      </c>
      <c r="P117" s="10" t="n">
        <f aca="false">O117*(1-$B$2)</f>
        <v>2.67701780216838</v>
      </c>
      <c r="Q117" s="10" t="n">
        <f aca="false">O117*(1+$B$2)</f>
        <v>6.24637487172623</v>
      </c>
      <c r="R117" s="7" t="n">
        <f aca="false">IF(AND(F117&gt;=$B$4,F117&lt;=$B$5),MAX(0.7*F117-$B$3*H117,0.35*F117),0.35*F117)</f>
        <v>2.024</v>
      </c>
      <c r="S117" s="8" t="n">
        <f aca="false">O117*$B$6</f>
        <v>133.850890108419</v>
      </c>
      <c r="T117" s="24" t="n">
        <f aca="false">S117*R117</f>
        <v>270.91420157944</v>
      </c>
      <c r="U117" s="24" t="n">
        <f aca="false">P117*$B$6*R117</f>
        <v>162.548520947664</v>
      </c>
      <c r="V117" s="24" t="n">
        <f aca="false">Q117*$B$6*R117</f>
        <v>379.279882211217</v>
      </c>
      <c r="W117" s="6" t="s">
        <v>1160</v>
      </c>
    </row>
    <row r="118" customFormat="false" ht="15" hidden="false" customHeight="false" outlineLevel="0" collapsed="false">
      <c r="A118" s="20" t="str">
        <f aca="false">Charts_Snapshot!A110</f>
        <v>Journaling|9</v>
      </c>
      <c r="B118" s="20" t="str">
        <f aca="false">Charts_Snapshot!B110</f>
        <v>Journaling</v>
      </c>
      <c r="C118" s="20" t="n">
        <f aca="false">Charts_Snapshot!D110</f>
        <v>9</v>
      </c>
      <c r="D118" s="20" t="str">
        <f aca="false">Charts_Snapshot!E110</f>
        <v>The Daily Stoic Journal: 366 Days of Writing and Reflection on the Art of Living</v>
      </c>
      <c r="E118" s="20" t="str">
        <f aca="false">Charts_Snapshot!H110</f>
        <v>Traditional/established press</v>
      </c>
      <c r="F118" s="21" t="n">
        <f aca="false">Charts_Snapshot!J110</f>
        <v>4.99</v>
      </c>
      <c r="G118" s="22" t="n">
        <f aca="false">Charts_Snapshot!M110</f>
        <v>45248</v>
      </c>
      <c r="H118" s="20" t="n">
        <f aca="false">Charts_Snapshot!P110</f>
        <v>1.6</v>
      </c>
      <c r="I118" s="20" t="str">
        <f aca="false">Charts_Snapshot!N110</f>
        <v>N</v>
      </c>
      <c r="J118" s="6" t="n">
        <f aca="false">MIN(MATCH(G118,BSR_Table!$A$2:$A$14,1),12)</f>
        <v>9</v>
      </c>
      <c r="K118" s="8" t="n">
        <f aca="false">INDEX(BSR_Table!$A$2:$A$14,J118)</f>
        <v>20000</v>
      </c>
      <c r="L118" s="8" t="n">
        <f aca="false">INDEX(BSR_Table!$A$2:$A$14,J118+1)</f>
        <v>50000</v>
      </c>
      <c r="M118" s="23" t="n">
        <f aca="false">INDEX(BSR_Table!$B$2:$B$14,J118)</f>
        <v>10</v>
      </c>
      <c r="N118" s="23" t="n">
        <f aca="false">INDEX(BSR_Table!$B$2:$B$14,J118+1)</f>
        <v>4</v>
      </c>
      <c r="O118" s="10" t="n">
        <f aca="false">EXP(LN(M118)+(LN(G118)-LN(K118))*(LN(N118)-LN(M118))/(LN(L118)-LN(K118)))</f>
        <v>4.42008486562942</v>
      </c>
      <c r="P118" s="10" t="n">
        <f aca="false">O118*(1-$B$2)</f>
        <v>2.65205091937765</v>
      </c>
      <c r="Q118" s="10" t="n">
        <f aca="false">O118*(1+$B$2)</f>
        <v>6.18811881188119</v>
      </c>
      <c r="R118" s="7" t="n">
        <f aca="false">IF(AND(F118&gt;=$B$4,F118&lt;=$B$5),MAX(0.7*F118-$B$3*H118,0.35*F118),0.35*F118)</f>
        <v>3.253</v>
      </c>
      <c r="S118" s="8" t="n">
        <f aca="false">O118*$B$6</f>
        <v>132.602545968883</v>
      </c>
      <c r="T118" s="24" t="n">
        <f aca="false">S118*R118</f>
        <v>431.356082036775</v>
      </c>
      <c r="U118" s="24" t="n">
        <f aca="false">P118*$B$6*R118</f>
        <v>258.813649222065</v>
      </c>
      <c r="V118" s="24" t="n">
        <f aca="false">Q118*$B$6*R118</f>
        <v>603.898514851485</v>
      </c>
      <c r="W118" s="6" t="s">
        <v>1160</v>
      </c>
    </row>
    <row r="119" customFormat="false" ht="15" hidden="false" customHeight="false" outlineLevel="0" collapsed="false">
      <c r="A119" s="20" t="str">
        <f aca="false">Charts_Snapshot!A111</f>
        <v>Journaling|10</v>
      </c>
      <c r="B119" s="20" t="str">
        <f aca="false">Charts_Snapshot!B111</f>
        <v>Journaling</v>
      </c>
      <c r="C119" s="20" t="n">
        <f aca="false">Charts_Snapshot!D111</f>
        <v>10</v>
      </c>
      <c r="D119" s="20" t="str">
        <f aca="false">Charts_Snapshot!E111</f>
        <v>Gilmore Girls: The Rory Gilmore Reading Challenge: The Official Guide to All the Books</v>
      </c>
      <c r="E119" s="20" t="str">
        <f aca="false">Charts_Snapshot!H111</f>
        <v>Traditional/established press</v>
      </c>
      <c r="F119" s="21" t="n">
        <f aca="false">Charts_Snapshot!J111</f>
        <v>2.99</v>
      </c>
      <c r="G119" s="22" t="n">
        <f aca="false">Charts_Snapshot!M111</f>
        <v>46288</v>
      </c>
      <c r="H119" s="20" t="n">
        <f aca="false">Charts_Snapshot!P111</f>
        <v>57.6</v>
      </c>
      <c r="I119" s="20" t="str">
        <f aca="false">Charts_Snapshot!N111</f>
        <v>N</v>
      </c>
      <c r="J119" s="6" t="n">
        <f aca="false">MIN(MATCH(G119,BSR_Table!$A$2:$A$14,1),12)</f>
        <v>9</v>
      </c>
      <c r="K119" s="8" t="n">
        <f aca="false">INDEX(BSR_Table!$A$2:$A$14,J119)</f>
        <v>20000</v>
      </c>
      <c r="L119" s="8" t="n">
        <f aca="false">INDEX(BSR_Table!$A$2:$A$14,J119+1)</f>
        <v>50000</v>
      </c>
      <c r="M119" s="23" t="n">
        <f aca="false">INDEX(BSR_Table!$B$2:$B$14,J119)</f>
        <v>10</v>
      </c>
      <c r="N119" s="23" t="n">
        <f aca="false">INDEX(BSR_Table!$B$2:$B$14,J119+1)</f>
        <v>4</v>
      </c>
      <c r="O119" s="10" t="n">
        <f aca="false">EXP(LN(M119)+(LN(G119)-LN(K119))*(LN(N119)-LN(M119))/(LN(L119)-LN(K119)))</f>
        <v>4.32077428275147</v>
      </c>
      <c r="P119" s="10" t="n">
        <f aca="false">O119*(1-$B$2)</f>
        <v>2.59246456965088</v>
      </c>
      <c r="Q119" s="10" t="n">
        <f aca="false">O119*(1+$B$2)</f>
        <v>6.04908399585206</v>
      </c>
      <c r="R119" s="7" t="n">
        <f aca="false">IF(AND(F119&gt;=$B$4,F119&lt;=$B$5),MAX(0.7*F119-$B$3*H119,0.35*F119),0.35*F119)</f>
        <v>1.0465</v>
      </c>
      <c r="S119" s="8" t="n">
        <f aca="false">O119*$B$6</f>
        <v>129.623228482544</v>
      </c>
      <c r="T119" s="24" t="n">
        <f aca="false">S119*R119</f>
        <v>135.650708606982</v>
      </c>
      <c r="U119" s="24" t="n">
        <f aca="false">P119*$B$6*R119</f>
        <v>81.3904251641895</v>
      </c>
      <c r="V119" s="24" t="n">
        <f aca="false">Q119*$B$6*R119</f>
        <v>189.910992049775</v>
      </c>
      <c r="W119" s="6" t="s">
        <v>1160</v>
      </c>
    </row>
    <row r="120" customFormat="false" ht="15" hidden="false" customHeight="false" outlineLevel="0" collapsed="false">
      <c r="A120" s="20" t="str">
        <f aca="false">Charts_Snapshot!A112</f>
        <v>Journaling|11</v>
      </c>
      <c r="B120" s="20" t="str">
        <f aca="false">Charts_Snapshot!B112</f>
        <v>Journaling</v>
      </c>
      <c r="C120" s="20" t="n">
        <f aca="false">Charts_Snapshot!D112</f>
        <v>11</v>
      </c>
      <c r="D120" s="20" t="str">
        <f aca="false">Charts_Snapshot!E112</f>
        <v>Layout Ideas 101: Over 100 inspiring journal layouts plus 500 writing prompts (Journal With Purpose)</v>
      </c>
      <c r="E120" s="20" t="str">
        <f aca="false">Charts_Snapshot!H112</f>
        <v>Traditional/established press</v>
      </c>
      <c r="F120" s="21" t="n">
        <f aca="false">Charts_Snapshot!J112</f>
        <v>3.99</v>
      </c>
      <c r="G120" s="22" t="n">
        <f aca="false">Charts_Snapshot!M112</f>
        <v>46301</v>
      </c>
      <c r="H120" s="20" t="n">
        <f aca="false">Charts_Snapshot!P112</f>
        <v>164.7</v>
      </c>
      <c r="I120" s="20" t="str">
        <f aca="false">Charts_Snapshot!N112</f>
        <v>Y</v>
      </c>
      <c r="J120" s="6" t="n">
        <f aca="false">MIN(MATCH(G120,BSR_Table!$A$2:$A$14,1),12)</f>
        <v>9</v>
      </c>
      <c r="K120" s="8" t="n">
        <f aca="false">INDEX(BSR_Table!$A$2:$A$14,J120)</f>
        <v>20000</v>
      </c>
      <c r="L120" s="8" t="n">
        <f aca="false">INDEX(BSR_Table!$A$2:$A$14,J120+1)</f>
        <v>50000</v>
      </c>
      <c r="M120" s="23" t="n">
        <f aca="false">INDEX(BSR_Table!$B$2:$B$14,J120)</f>
        <v>10</v>
      </c>
      <c r="N120" s="23" t="n">
        <f aca="false">INDEX(BSR_Table!$B$2:$B$14,J120+1)</f>
        <v>4</v>
      </c>
      <c r="O120" s="10" t="n">
        <f aca="false">EXP(LN(M120)+(LN(G120)-LN(K120))*(LN(N120)-LN(M120))/(LN(L120)-LN(K120)))</f>
        <v>4.31956113258893</v>
      </c>
      <c r="P120" s="10" t="n">
        <f aca="false">O120*(1-$B$2)</f>
        <v>2.59173667955336</v>
      </c>
      <c r="Q120" s="10" t="n">
        <f aca="false">O120*(1+$B$2)</f>
        <v>6.0473855856245</v>
      </c>
      <c r="R120" s="7" t="n">
        <f aca="false">IF(AND(F120&gt;=$B$4,F120&lt;=$B$5),MAX(0.7*F120-$B$3*H120,0.35*F120),0.35*F120)</f>
        <v>1.3965</v>
      </c>
      <c r="S120" s="8" t="n">
        <f aca="false">O120*$B$6</f>
        <v>129.586833977668</v>
      </c>
      <c r="T120" s="24" t="n">
        <f aca="false">S120*R120</f>
        <v>180.968013649813</v>
      </c>
      <c r="U120" s="24" t="n">
        <f aca="false">P120*$B$6*R120</f>
        <v>108.580808189888</v>
      </c>
      <c r="V120" s="24" t="n">
        <f aca="false">Q120*$B$6*R120</f>
        <v>253.355219109738</v>
      </c>
      <c r="W120" s="6" t="s">
        <v>1160</v>
      </c>
    </row>
    <row r="121" customFormat="false" ht="15" hidden="false" customHeight="false" outlineLevel="0" collapsed="false">
      <c r="A121" s="20" t="str">
        <f aca="false">Charts_Snapshot!A113</f>
        <v>Journaling|12</v>
      </c>
      <c r="B121" s="20" t="str">
        <f aca="false">Charts_Snapshot!B113</f>
        <v>Journaling</v>
      </c>
      <c r="C121" s="20" t="n">
        <f aca="false">Charts_Snapshot!D113</f>
        <v>12</v>
      </c>
      <c r="D121" s="20" t="str">
        <f aca="false">Charts_Snapshot!E113</f>
        <v>Give Me a Year: 12 New Things to Embrace Change and Live Your Best Life</v>
      </c>
      <c r="E121" s="20" t="str">
        <f aca="false">Charts_Snapshot!H113</f>
        <v>Traditional/established press</v>
      </c>
      <c r="F121" s="21" t="n">
        <f aca="false">Charts_Snapshot!J113</f>
        <v>9.99</v>
      </c>
      <c r="G121" s="22" t="n">
        <f aca="false">Charts_Snapshot!M113</f>
        <v>54983</v>
      </c>
      <c r="H121" s="20" t="n">
        <f aca="false">Charts_Snapshot!P113</f>
        <v>4.1</v>
      </c>
      <c r="I121" s="20" t="str">
        <f aca="false">Charts_Snapshot!N113</f>
        <v>N</v>
      </c>
      <c r="J121" s="6" t="n">
        <f aca="false">MIN(MATCH(G121,BSR_Table!$A$2:$A$14,1),12)</f>
        <v>10</v>
      </c>
      <c r="K121" s="8" t="n">
        <f aca="false">INDEX(BSR_Table!$A$2:$A$14,J121)</f>
        <v>50000</v>
      </c>
      <c r="L121" s="8" t="n">
        <f aca="false">INDEX(BSR_Table!$A$2:$A$14,J121+1)</f>
        <v>100000</v>
      </c>
      <c r="M121" s="23" t="n">
        <f aca="false">INDEX(BSR_Table!$B$2:$B$14,J121)</f>
        <v>4</v>
      </c>
      <c r="N121" s="23" t="n">
        <f aca="false">INDEX(BSR_Table!$B$2:$B$14,J121+1)</f>
        <v>1.5</v>
      </c>
      <c r="O121" s="10" t="n">
        <f aca="false">EXP(LN(M121)+(LN(G121)-LN(K121))*(LN(N121)-LN(M121))/(LN(L121)-LN(K121)))</f>
        <v>3.49685616221357</v>
      </c>
      <c r="P121" s="10" t="n">
        <f aca="false">O121*(1-$B$2)</f>
        <v>2.09811369732814</v>
      </c>
      <c r="Q121" s="10" t="n">
        <f aca="false">O121*(1+$B$2)</f>
        <v>4.895598627099</v>
      </c>
      <c r="R121" s="7" t="n">
        <f aca="false">IF(AND(F121&gt;=$B$4,F121&lt;=$B$5),MAX(0.7*F121-$B$3*H121,0.35*F121),0.35*F121)</f>
        <v>6.378</v>
      </c>
      <c r="S121" s="8" t="n">
        <f aca="false">O121*$B$6</f>
        <v>104.905684866407</v>
      </c>
      <c r="T121" s="24" t="n">
        <f aca="false">S121*R121</f>
        <v>669.088458077945</v>
      </c>
      <c r="U121" s="24" t="n">
        <f aca="false">P121*$B$6*R121</f>
        <v>401.453074846767</v>
      </c>
      <c r="V121" s="24" t="n">
        <f aca="false">Q121*$B$6*R121</f>
        <v>936.723841309122</v>
      </c>
      <c r="W121" s="6" t="s">
        <v>1160</v>
      </c>
    </row>
    <row r="122" customFormat="false" ht="15" hidden="false" customHeight="false" outlineLevel="0" collapsed="false">
      <c r="A122" s="20" t="str">
        <f aca="false">Charts_Snapshot!A114</f>
        <v>Journaling|13</v>
      </c>
      <c r="B122" s="20" t="str">
        <f aca="false">Charts_Snapshot!B114</f>
        <v>Journaling</v>
      </c>
      <c r="C122" s="20" t="n">
        <f aca="false">Charts_Snapshot!D114</f>
        <v>13</v>
      </c>
      <c r="D122" s="20" t="str">
        <f aca="false">Charts_Snapshot!E114</f>
        <v>The Forgiveness Journal: A Guided Journey to Forgiving What You Can't Forget (A Devotional Companion with Journaling Prompts to the #1 New York Times Bestseller)</v>
      </c>
      <c r="E122" s="20" t="str">
        <f aca="false">Charts_Snapshot!H114</f>
        <v>Traditional/established press</v>
      </c>
      <c r="F122" s="21" t="n">
        <f aca="false">Charts_Snapshot!J114</f>
        <v>14.99</v>
      </c>
      <c r="G122" s="22" t="n">
        <f aca="false">Charts_Snapshot!M114</f>
        <v>58821</v>
      </c>
      <c r="H122" s="20" t="n">
        <f aca="false">Charts_Snapshot!P114</f>
        <v>16.8</v>
      </c>
      <c r="I122" s="20" t="str">
        <f aca="false">Charts_Snapshot!N114</f>
        <v>Y</v>
      </c>
      <c r="J122" s="6" t="n">
        <f aca="false">MIN(MATCH(G122,BSR_Table!$A$2:$A$14,1),12)</f>
        <v>10</v>
      </c>
      <c r="K122" s="8" t="n">
        <f aca="false">INDEX(BSR_Table!$A$2:$A$14,J122)</f>
        <v>50000</v>
      </c>
      <c r="L122" s="8" t="n">
        <f aca="false">INDEX(BSR_Table!$A$2:$A$14,J122+1)</f>
        <v>100000</v>
      </c>
      <c r="M122" s="23" t="n">
        <f aca="false">INDEX(BSR_Table!$B$2:$B$14,J122)</f>
        <v>4</v>
      </c>
      <c r="N122" s="23" t="n">
        <f aca="false">INDEX(BSR_Table!$B$2:$B$14,J122+1)</f>
        <v>1.5</v>
      </c>
      <c r="O122" s="10" t="n">
        <f aca="false">EXP(LN(M122)+(LN(G122)-LN(K122))*(LN(N122)-LN(M122))/(LN(L122)-LN(K122)))</f>
        <v>3.17842194355973</v>
      </c>
      <c r="P122" s="10" t="n">
        <f aca="false">O122*(1-$B$2)</f>
        <v>1.90705316613584</v>
      </c>
      <c r="Q122" s="10" t="n">
        <f aca="false">O122*(1+$B$2)</f>
        <v>4.44979072098362</v>
      </c>
      <c r="R122" s="7" t="n">
        <f aca="false">IF(AND(F122&gt;=$B$4,F122&lt;=$B$5),MAX(0.7*F122-$B$3*H122,0.35*F122),0.35*F122)</f>
        <v>5.2465</v>
      </c>
      <c r="S122" s="8" t="n">
        <f aca="false">O122*$B$6</f>
        <v>95.3526583067918</v>
      </c>
      <c r="T122" s="24" t="n">
        <f aca="false">S122*R122</f>
        <v>500.267721806583</v>
      </c>
      <c r="U122" s="24" t="n">
        <f aca="false">P122*$B$6*R122</f>
        <v>300.16063308395</v>
      </c>
      <c r="V122" s="24" t="n">
        <f aca="false">Q122*$B$6*R122</f>
        <v>700.374810529216</v>
      </c>
      <c r="W122" s="6" t="s">
        <v>1160</v>
      </c>
    </row>
    <row r="123" customFormat="false" ht="15" hidden="false" customHeight="false" outlineLevel="0" collapsed="false">
      <c r="A123" s="20" t="str">
        <f aca="false">Charts_Snapshot!A115</f>
        <v>Journaling|14</v>
      </c>
      <c r="B123" s="20" t="str">
        <f aca="false">Charts_Snapshot!B115</f>
        <v>Journaling</v>
      </c>
      <c r="C123" s="20" t="n">
        <f aca="false">Charts_Snapshot!D115</f>
        <v>14</v>
      </c>
      <c r="D123" s="20" t="str">
        <f aca="false">Charts_Snapshot!E115</f>
        <v>The Oracle of Small Things: A Solo Journaling Game of Attention and Preservation (Oracle Games)</v>
      </c>
      <c r="E123" s="20" t="str">
        <f aca="false">Charts_Snapshot!H115</f>
        <v>Indie (no publisher listed)</v>
      </c>
      <c r="F123" s="21" t="n">
        <f aca="false">Charts_Snapshot!J115</f>
        <v>3.99</v>
      </c>
      <c r="G123" s="22" t="n">
        <f aca="false">Charts_Snapshot!M115</f>
        <v>66176</v>
      </c>
      <c r="H123" s="20" t="n">
        <f aca="false">Charts_Snapshot!P115</f>
        <v>1.9</v>
      </c>
      <c r="I123" s="20" t="str">
        <f aca="false">Charts_Snapshot!N115</f>
        <v>Y</v>
      </c>
      <c r="J123" s="6" t="n">
        <f aca="false">MIN(MATCH(G123,BSR_Table!$A$2:$A$14,1),12)</f>
        <v>10</v>
      </c>
      <c r="K123" s="8" t="n">
        <f aca="false">INDEX(BSR_Table!$A$2:$A$14,J123)</f>
        <v>50000</v>
      </c>
      <c r="L123" s="8" t="n">
        <f aca="false">INDEX(BSR_Table!$A$2:$A$14,J123+1)</f>
        <v>100000</v>
      </c>
      <c r="M123" s="23" t="n">
        <f aca="false">INDEX(BSR_Table!$B$2:$B$14,J123)</f>
        <v>4</v>
      </c>
      <c r="N123" s="23" t="n">
        <f aca="false">INDEX(BSR_Table!$B$2:$B$14,J123+1)</f>
        <v>1.5</v>
      </c>
      <c r="O123" s="10" t="n">
        <f aca="false">EXP(LN(M123)+(LN(G123)-LN(K123))*(LN(N123)-LN(M123))/(LN(L123)-LN(K123)))</f>
        <v>2.69033744996548</v>
      </c>
      <c r="P123" s="10" t="n">
        <f aca="false">O123*(1-$B$2)</f>
        <v>1.61420246997929</v>
      </c>
      <c r="Q123" s="10" t="n">
        <f aca="false">O123*(1+$B$2)</f>
        <v>3.76647242995167</v>
      </c>
      <c r="R123" s="7" t="n">
        <f aca="false">IF(AND(F123&gt;=$B$4,F123&lt;=$B$5),MAX(0.7*F123-$B$3*H123,0.35*F123),0.35*F123)</f>
        <v>2.508</v>
      </c>
      <c r="S123" s="8" t="n">
        <f aca="false">O123*$B$6</f>
        <v>80.7101234989644</v>
      </c>
      <c r="T123" s="24" t="n">
        <f aca="false">S123*R123</f>
        <v>202.420989735403</v>
      </c>
      <c r="U123" s="24" t="n">
        <f aca="false">P123*$B$6*R123</f>
        <v>121.452593841242</v>
      </c>
      <c r="V123" s="24" t="n">
        <f aca="false">Q123*$B$6*R123</f>
        <v>283.389385629564</v>
      </c>
      <c r="W123" s="6" t="s">
        <v>1160</v>
      </c>
    </row>
    <row r="124" customFormat="false" ht="15" hidden="false" customHeight="false" outlineLevel="0" collapsed="false">
      <c r="A124" s="20" t="str">
        <f aca="false">Charts_Snapshot!A116</f>
        <v>Journaling|15</v>
      </c>
      <c r="B124" s="20" t="str">
        <f aca="false">Charts_Snapshot!B116</f>
        <v>Journaling</v>
      </c>
      <c r="C124" s="20" t="n">
        <f aca="false">Charts_Snapshot!D116</f>
        <v>15</v>
      </c>
      <c r="D124" s="20" t="str">
        <f aca="false">Charts_Snapshot!E116</f>
        <v>Dot Journaling - A Practical Guide: How to Start and Keep the Planner, To-Do List, and Diary That'll Actually Help You Get Your Life Together</v>
      </c>
      <c r="E124" s="20" t="str">
        <f aca="false">Charts_Snapshot!H116</f>
        <v>Traditional/established press</v>
      </c>
      <c r="F124" s="21" t="n">
        <f aca="false">Charts_Snapshot!J116</f>
        <v>2.99</v>
      </c>
      <c r="G124" s="22" t="n">
        <f aca="false">Charts_Snapshot!M116</f>
        <v>69582</v>
      </c>
      <c r="H124" s="20" t="n">
        <f aca="false">Charts_Snapshot!P116</f>
        <v>18.8</v>
      </c>
      <c r="I124" s="20" t="str">
        <f aca="false">Charts_Snapshot!N116</f>
        <v>N</v>
      </c>
      <c r="J124" s="6" t="n">
        <f aca="false">MIN(MATCH(G124,BSR_Table!$A$2:$A$14,1),12)</f>
        <v>10</v>
      </c>
      <c r="K124" s="8" t="n">
        <f aca="false">INDEX(BSR_Table!$A$2:$A$14,J124)</f>
        <v>50000</v>
      </c>
      <c r="L124" s="8" t="n">
        <f aca="false">INDEX(BSR_Table!$A$2:$A$14,J124+1)</f>
        <v>100000</v>
      </c>
      <c r="M124" s="23" t="n">
        <f aca="false">INDEX(BSR_Table!$B$2:$B$14,J124)</f>
        <v>4</v>
      </c>
      <c r="N124" s="23" t="n">
        <f aca="false">INDEX(BSR_Table!$B$2:$B$14,J124+1)</f>
        <v>1.5</v>
      </c>
      <c r="O124" s="10" t="n">
        <f aca="false">EXP(LN(M124)+(LN(G124)-LN(K124))*(LN(N124)-LN(M124))/(LN(L124)-LN(K124)))</f>
        <v>2.50590175989535</v>
      </c>
      <c r="P124" s="10" t="n">
        <f aca="false">O124*(1-$B$2)</f>
        <v>1.50354105593721</v>
      </c>
      <c r="Q124" s="10" t="n">
        <f aca="false">O124*(1+$B$2)</f>
        <v>3.50826246385349</v>
      </c>
      <c r="R124" s="7" t="n">
        <f aca="false">IF(AND(F124&gt;=$B$4,F124&lt;=$B$5),MAX(0.7*F124-$B$3*H124,0.35*F124),0.35*F124)</f>
        <v>1.0465</v>
      </c>
      <c r="S124" s="8" t="n">
        <f aca="false">O124*$B$6</f>
        <v>75.1770527968606</v>
      </c>
      <c r="T124" s="24" t="n">
        <f aca="false">S124*R124</f>
        <v>78.6727857519146</v>
      </c>
      <c r="U124" s="24" t="n">
        <f aca="false">P124*$B$6*R124</f>
        <v>47.2036714511487</v>
      </c>
      <c r="V124" s="24" t="n">
        <f aca="false">Q124*$B$6*R124</f>
        <v>110.14190005268</v>
      </c>
      <c r="W124" s="6" t="s">
        <v>1160</v>
      </c>
    </row>
    <row r="125" customFormat="false" ht="15" hidden="false" customHeight="false" outlineLevel="0" collapsed="false">
      <c r="A125" s="20" t="str">
        <f aca="false">Charts_Snapshot!A117</f>
        <v>Journaling|16</v>
      </c>
      <c r="B125" s="20" t="str">
        <f aca="false">Charts_Snapshot!B117</f>
        <v>Journaling</v>
      </c>
      <c r="C125" s="20" t="n">
        <f aca="false">Charts_Snapshot!D117</f>
        <v>16</v>
      </c>
      <c r="D125" s="20" t="str">
        <f aca="false">Charts_Snapshot!E117</f>
        <v>How to Carry What Can't Be Fixed: A Journal for Grief</v>
      </c>
      <c r="E125" s="20" t="str">
        <f aca="false">Charts_Snapshot!H117</f>
        <v>Traditional/established press</v>
      </c>
      <c r="F125" s="21" t="n">
        <f aca="false">Charts_Snapshot!J117</f>
        <v>11.99</v>
      </c>
      <c r="G125" s="22" t="n">
        <f aca="false">Charts_Snapshot!M117</f>
        <v>71033</v>
      </c>
      <c r="H125" s="20" t="n">
        <f aca="false">Charts_Snapshot!P117</f>
        <v>31</v>
      </c>
      <c r="I125" s="20" t="str">
        <f aca="false">Charts_Snapshot!N117</f>
        <v>Y</v>
      </c>
      <c r="J125" s="6" t="n">
        <f aca="false">MIN(MATCH(G125,BSR_Table!$A$2:$A$14,1),12)</f>
        <v>10</v>
      </c>
      <c r="K125" s="8" t="n">
        <f aca="false">INDEX(BSR_Table!$A$2:$A$14,J125)</f>
        <v>50000</v>
      </c>
      <c r="L125" s="8" t="n">
        <f aca="false">INDEX(BSR_Table!$A$2:$A$14,J125+1)</f>
        <v>100000</v>
      </c>
      <c r="M125" s="23" t="n">
        <f aca="false">INDEX(BSR_Table!$B$2:$B$14,J125)</f>
        <v>4</v>
      </c>
      <c r="N125" s="23" t="n">
        <f aca="false">INDEX(BSR_Table!$B$2:$B$14,J125+1)</f>
        <v>1.5</v>
      </c>
      <c r="O125" s="10" t="n">
        <f aca="false">EXP(LN(M125)+(LN(G125)-LN(K125))*(LN(N125)-LN(M125))/(LN(L125)-LN(K125)))</f>
        <v>2.43377657673043</v>
      </c>
      <c r="P125" s="10" t="n">
        <f aca="false">O125*(1-$B$2)</f>
        <v>1.46026594603826</v>
      </c>
      <c r="Q125" s="10" t="n">
        <f aca="false">O125*(1+$B$2)</f>
        <v>3.4072872074226</v>
      </c>
      <c r="R125" s="7" t="n">
        <f aca="false">IF(AND(F125&gt;=$B$4,F125&lt;=$B$5),MAX(0.7*F125-$B$3*H125,0.35*F125),0.35*F125)</f>
        <v>4.1965</v>
      </c>
      <c r="S125" s="8" t="n">
        <f aca="false">O125*$B$6</f>
        <v>73.013297301913</v>
      </c>
      <c r="T125" s="24" t="n">
        <f aca="false">S125*R125</f>
        <v>306.400302127478</v>
      </c>
      <c r="U125" s="24" t="n">
        <f aca="false">P125*$B$6*R125</f>
        <v>183.840181276487</v>
      </c>
      <c r="V125" s="24" t="n">
        <f aca="false">Q125*$B$6*R125</f>
        <v>428.960422978469</v>
      </c>
      <c r="W125" s="6" t="s">
        <v>1160</v>
      </c>
    </row>
    <row r="126" customFormat="false" ht="15" hidden="false" customHeight="false" outlineLevel="0" collapsed="false">
      <c r="A126" s="20" t="str">
        <f aca="false">Charts_Snapshot!A118</f>
        <v>Journaling|17</v>
      </c>
      <c r="B126" s="20" t="str">
        <f aca="false">Charts_Snapshot!B118</f>
        <v>Journaling</v>
      </c>
      <c r="C126" s="20" t="n">
        <f aca="false">Charts_Snapshot!D118</f>
        <v>17</v>
      </c>
      <c r="D126" s="20" t="str">
        <f aca="false">Charts_Snapshot!E118</f>
        <v>You Deserve This Sh!t: Get Unstuck, Find Your Path, and Become the Best Version of Yourself</v>
      </c>
      <c r="E126" s="20" t="str">
        <f aca="false">Charts_Snapshot!H118</f>
        <v>Indie (no publisher listed)</v>
      </c>
      <c r="F126" s="21" t="n">
        <f aca="false">Charts_Snapshot!J118</f>
        <v>9.99</v>
      </c>
      <c r="G126" s="22" t="n">
        <f aca="false">Charts_Snapshot!M118</f>
        <v>71851</v>
      </c>
      <c r="H126" s="20" t="n">
        <f aca="false">Charts_Snapshot!P118</f>
        <v>1.4</v>
      </c>
      <c r="I126" s="20" t="str">
        <f aca="false">Charts_Snapshot!N118</f>
        <v>N</v>
      </c>
      <c r="J126" s="6" t="n">
        <f aca="false">MIN(MATCH(G126,BSR_Table!$A$2:$A$14,1),12)</f>
        <v>10</v>
      </c>
      <c r="K126" s="8" t="n">
        <f aca="false">INDEX(BSR_Table!$A$2:$A$14,J126)</f>
        <v>50000</v>
      </c>
      <c r="L126" s="8" t="n">
        <f aca="false">INDEX(BSR_Table!$A$2:$A$14,J126+1)</f>
        <v>100000</v>
      </c>
      <c r="M126" s="23" t="n">
        <f aca="false">INDEX(BSR_Table!$B$2:$B$14,J126)</f>
        <v>4</v>
      </c>
      <c r="N126" s="23" t="n">
        <f aca="false">INDEX(BSR_Table!$B$2:$B$14,J126+1)</f>
        <v>1.5</v>
      </c>
      <c r="O126" s="10" t="n">
        <f aca="false">EXP(LN(M126)+(LN(G126)-LN(K126))*(LN(N126)-LN(M126))/(LN(L126)-LN(K126)))</f>
        <v>2.39466191303247</v>
      </c>
      <c r="P126" s="10" t="n">
        <f aca="false">O126*(1-$B$2)</f>
        <v>1.43679714781948</v>
      </c>
      <c r="Q126" s="10" t="n">
        <f aca="false">O126*(1+$B$2)</f>
        <v>3.35252667824546</v>
      </c>
      <c r="R126" s="7" t="n">
        <f aca="false">IF(AND(F126&gt;=$B$4,F126&lt;=$B$5),MAX(0.7*F126-$B$3*H126,0.35*F126),0.35*F126)</f>
        <v>6.783</v>
      </c>
      <c r="S126" s="8" t="n">
        <f aca="false">O126*$B$6</f>
        <v>71.8398573909741</v>
      </c>
      <c r="T126" s="24" t="n">
        <f aca="false">S126*R126</f>
        <v>487.289752682977</v>
      </c>
      <c r="U126" s="24" t="n">
        <f aca="false">P126*$B$6*R126</f>
        <v>292.373851609786</v>
      </c>
      <c r="V126" s="24" t="n">
        <f aca="false">Q126*$B$6*R126</f>
        <v>682.205653756168</v>
      </c>
      <c r="W126" s="6" t="s">
        <v>1160</v>
      </c>
    </row>
    <row r="127" customFormat="false" ht="15" hidden="false" customHeight="false" outlineLevel="0" collapsed="false">
      <c r="A127" s="20" t="str">
        <f aca="false">Charts_Snapshot!A119</f>
        <v>Journaling|18</v>
      </c>
      <c r="B127" s="20" t="str">
        <f aca="false">Charts_Snapshot!B119</f>
        <v>Journaling</v>
      </c>
      <c r="C127" s="20" t="n">
        <f aca="false">Charts_Snapshot!D119</f>
        <v>18</v>
      </c>
      <c r="D127" s="20" t="str">
        <f aca="false">Charts_Snapshot!E119</f>
        <v>The Complex PTSD Workbook for Neurodivergent Minds: How to Feel Safer in Your Body and Recover Faster From Triggers, Reduce Overwhelm, and Finally Calm Your System</v>
      </c>
      <c r="E127" s="20" t="str">
        <f aca="false">Charts_Snapshot!H119</f>
        <v>Indie (no publisher listed)</v>
      </c>
      <c r="F127" s="21" t="n">
        <f aca="false">Charts_Snapshot!J119</f>
        <v>9.99</v>
      </c>
      <c r="G127" s="22" t="n">
        <f aca="false">Charts_Snapshot!M119</f>
        <v>77345</v>
      </c>
      <c r="H127" s="20" t="n">
        <f aca="false">Charts_Snapshot!P119</f>
        <v>2.8</v>
      </c>
      <c r="I127" s="20" t="str">
        <f aca="false">Charts_Snapshot!N119</f>
        <v>Y</v>
      </c>
      <c r="J127" s="6" t="n">
        <f aca="false">MIN(MATCH(G127,BSR_Table!$A$2:$A$14,1),12)</f>
        <v>10</v>
      </c>
      <c r="K127" s="8" t="n">
        <f aca="false">INDEX(BSR_Table!$A$2:$A$14,J127)</f>
        <v>50000</v>
      </c>
      <c r="L127" s="8" t="n">
        <f aca="false">INDEX(BSR_Table!$A$2:$A$14,J127+1)</f>
        <v>100000</v>
      </c>
      <c r="M127" s="23" t="n">
        <f aca="false">INDEX(BSR_Table!$B$2:$B$14,J127)</f>
        <v>4</v>
      </c>
      <c r="N127" s="23" t="n">
        <f aca="false">INDEX(BSR_Table!$B$2:$B$14,J127+1)</f>
        <v>1.5</v>
      </c>
      <c r="O127" s="10" t="n">
        <f aca="false">EXP(LN(M127)+(LN(G127)-LN(K127))*(LN(N127)-LN(M127))/(LN(L127)-LN(K127)))</f>
        <v>2.1575646493464</v>
      </c>
      <c r="P127" s="10" t="n">
        <f aca="false">O127*(1-$B$2)</f>
        <v>1.29453878960784</v>
      </c>
      <c r="Q127" s="10" t="n">
        <f aca="false">O127*(1+$B$2)</f>
        <v>3.02059050908496</v>
      </c>
      <c r="R127" s="7" t="n">
        <f aca="false">IF(AND(F127&gt;=$B$4,F127&lt;=$B$5),MAX(0.7*F127-$B$3*H127,0.35*F127),0.35*F127)</f>
        <v>6.573</v>
      </c>
      <c r="S127" s="8" t="n">
        <f aca="false">O127*$B$6</f>
        <v>64.726939480392</v>
      </c>
      <c r="T127" s="24" t="n">
        <f aca="false">S127*R127</f>
        <v>425.450173204616</v>
      </c>
      <c r="U127" s="24" t="n">
        <f aca="false">P127*$B$6*R127</f>
        <v>255.27010392277</v>
      </c>
      <c r="V127" s="24" t="n">
        <f aca="false">Q127*$B$6*R127</f>
        <v>595.630242486463</v>
      </c>
      <c r="W127" s="6" t="s">
        <v>1160</v>
      </c>
    </row>
    <row r="128" customFormat="false" ht="15" hidden="false" customHeight="false" outlineLevel="0" collapsed="false">
      <c r="A128" s="20" t="str">
        <f aca="false">Charts_Snapshot!A120</f>
        <v>Journaling|19</v>
      </c>
      <c r="B128" s="20" t="str">
        <f aca="false">Charts_Snapshot!B120</f>
        <v>Journaling</v>
      </c>
      <c r="C128" s="20" t="n">
        <f aca="false">Charts_Snapshot!D120</f>
        <v>19</v>
      </c>
      <c r="D128" s="20" t="str">
        <f aca="false">Charts_Snapshot!E120</f>
        <v>701 LIFE LESSONS: Timeless Lessons for Overcoming Life Challenges in a Chaotic World</v>
      </c>
      <c r="E128" s="20" t="str">
        <f aca="false">Charts_Snapshot!H120</f>
        <v>Indie imprint (inferred)</v>
      </c>
      <c r="F128" s="21" t="n">
        <f aca="false">Charts_Snapshot!J120</f>
        <v>0.99</v>
      </c>
      <c r="G128" s="22" t="n">
        <f aca="false">Charts_Snapshot!M120</f>
        <v>78978</v>
      </c>
      <c r="H128" s="20" t="n">
        <f aca="false">Charts_Snapshot!P120</f>
        <v>2.2</v>
      </c>
      <c r="I128" s="20" t="str">
        <f aca="false">Charts_Snapshot!N120</f>
        <v>Y</v>
      </c>
      <c r="J128" s="6" t="n">
        <f aca="false">MIN(MATCH(G128,BSR_Table!$A$2:$A$14,1),12)</f>
        <v>10</v>
      </c>
      <c r="K128" s="8" t="n">
        <f aca="false">INDEX(BSR_Table!$A$2:$A$14,J128)</f>
        <v>50000</v>
      </c>
      <c r="L128" s="8" t="n">
        <f aca="false">INDEX(BSR_Table!$A$2:$A$14,J128+1)</f>
        <v>100000</v>
      </c>
      <c r="M128" s="23" t="n">
        <f aca="false">INDEX(BSR_Table!$B$2:$B$14,J128)</f>
        <v>4</v>
      </c>
      <c r="N128" s="23" t="n">
        <f aca="false">INDEX(BSR_Table!$B$2:$B$14,J128+1)</f>
        <v>1.5</v>
      </c>
      <c r="O128" s="10" t="n">
        <f aca="false">EXP(LN(M128)+(LN(G128)-LN(K128))*(LN(N128)-LN(M128))/(LN(L128)-LN(K128)))</f>
        <v>2.09471009728188</v>
      </c>
      <c r="P128" s="10" t="n">
        <f aca="false">O128*(1-$B$2)</f>
        <v>1.25682605836913</v>
      </c>
      <c r="Q128" s="10" t="n">
        <f aca="false">O128*(1+$B$2)</f>
        <v>2.93259413619464</v>
      </c>
      <c r="R128" s="7" t="n">
        <f aca="false">IF(AND(F128&gt;=$B$4,F128&lt;=$B$5),MAX(0.7*F128-$B$3*H128,0.35*F128),0.35*F128)</f>
        <v>0.3465</v>
      </c>
      <c r="S128" s="8" t="n">
        <f aca="false">O128*$B$6</f>
        <v>62.8413029184565</v>
      </c>
      <c r="T128" s="24" t="n">
        <f aca="false">S128*R128</f>
        <v>21.7745114612452</v>
      </c>
      <c r="U128" s="24" t="n">
        <f aca="false">P128*$B$6*R128</f>
        <v>13.0647068767471</v>
      </c>
      <c r="V128" s="24" t="n">
        <f aca="false">Q128*$B$6*R128</f>
        <v>30.4843160457433</v>
      </c>
      <c r="W128" s="6" t="s">
        <v>1160</v>
      </c>
    </row>
    <row r="129" customFormat="false" ht="15" hidden="false" customHeight="false" outlineLevel="0" collapsed="false">
      <c r="A129" s="20" t="str">
        <f aca="false">Charts_Snapshot!A121</f>
        <v>Journaling|20</v>
      </c>
      <c r="B129" s="20" t="str">
        <f aca="false">Charts_Snapshot!B121</f>
        <v>Journaling</v>
      </c>
      <c r="C129" s="20" t="n">
        <f aca="false">Charts_Snapshot!D121</f>
        <v>20</v>
      </c>
      <c r="D129" s="20" t="str">
        <f aca="false">Charts_Snapshot!E121</f>
        <v>5-Minute Daily Writing Prompts: 501 Prompts to Unleash Creativity and Spark Inspiration</v>
      </c>
      <c r="E129" s="20" t="str">
        <f aca="false">Charts_Snapshot!H121</f>
        <v>Traditional/established press</v>
      </c>
      <c r="F129" s="21" t="n">
        <f aca="false">Charts_Snapshot!J121</f>
        <v>11.99</v>
      </c>
      <c r="G129" s="22" t="n">
        <f aca="false">Charts_Snapshot!M121</f>
        <v>79982</v>
      </c>
      <c r="H129" s="20" t="n">
        <f aca="false">Charts_Snapshot!P121</f>
        <v>3.7</v>
      </c>
      <c r="I129" s="20" t="str">
        <f aca="false">Charts_Snapshot!N121</f>
        <v>N</v>
      </c>
      <c r="J129" s="6" t="n">
        <f aca="false">MIN(MATCH(G129,BSR_Table!$A$2:$A$14,1),12)</f>
        <v>10</v>
      </c>
      <c r="K129" s="8" t="n">
        <f aca="false">INDEX(BSR_Table!$A$2:$A$14,J129)</f>
        <v>50000</v>
      </c>
      <c r="L129" s="8" t="n">
        <f aca="false">INDEX(BSR_Table!$A$2:$A$14,J129+1)</f>
        <v>100000</v>
      </c>
      <c r="M129" s="23" t="n">
        <f aca="false">INDEX(BSR_Table!$B$2:$B$14,J129)</f>
        <v>4</v>
      </c>
      <c r="N129" s="23" t="n">
        <f aca="false">INDEX(BSR_Table!$B$2:$B$14,J129+1)</f>
        <v>1.5</v>
      </c>
      <c r="O129" s="10" t="n">
        <f aca="false">EXP(LN(M129)+(LN(G129)-LN(K129))*(LN(N129)-LN(M129))/(LN(L129)-LN(K129)))</f>
        <v>2.05759951675152</v>
      </c>
      <c r="P129" s="10" t="n">
        <f aca="false">O129*(1-$B$2)</f>
        <v>1.23455971005091</v>
      </c>
      <c r="Q129" s="10" t="n">
        <f aca="false">O129*(1+$B$2)</f>
        <v>2.88063932345213</v>
      </c>
      <c r="R129" s="7" t="n">
        <f aca="false">IF(AND(F129&gt;=$B$4,F129&lt;=$B$5),MAX(0.7*F129-$B$3*H129,0.35*F129),0.35*F129)</f>
        <v>7.838</v>
      </c>
      <c r="S129" s="8" t="n">
        <f aca="false">O129*$B$6</f>
        <v>61.7279855025457</v>
      </c>
      <c r="T129" s="24" t="n">
        <f aca="false">S129*R129</f>
        <v>483.823950368953</v>
      </c>
      <c r="U129" s="24" t="n">
        <f aca="false">P129*$B$6*R129</f>
        <v>290.294370221372</v>
      </c>
      <c r="V129" s="24" t="n">
        <f aca="false">Q129*$B$6*R129</f>
        <v>677.353530516534</v>
      </c>
      <c r="W129" s="6" t="s">
        <v>1160</v>
      </c>
    </row>
    <row r="130" customFormat="false" ht="15" hidden="false" customHeight="false" outlineLevel="0" collapsed="false">
      <c r="A130" s="20" t="str">
        <f aca="false">Charts_Snapshot!A122</f>
        <v>Time Management|1</v>
      </c>
      <c r="B130" s="20" t="str">
        <f aca="false">Charts_Snapshot!B122</f>
        <v>Time Management</v>
      </c>
      <c r="C130" s="20" t="n">
        <f aca="false">Charts_Snapshot!D122</f>
        <v>1</v>
      </c>
      <c r="D130" s="20" t="str">
        <f aca="false">Charts_Snapshot!E122</f>
        <v>Procrastinators Get Stuff Done: How to Go from Overwhelmed to Finished</v>
      </c>
      <c r="E130" s="20" t="str">
        <f aca="false">Charts_Snapshot!H122</f>
        <v>Traditional/established press</v>
      </c>
      <c r="F130" s="21" t="n">
        <f aca="false">Charts_Snapshot!J122</f>
        <v>14.99</v>
      </c>
      <c r="G130" s="22" t="n">
        <f aca="false">Charts_Snapshot!M122</f>
        <v>1930</v>
      </c>
      <c r="H130" s="20" t="n">
        <f aca="false">Charts_Snapshot!P122</f>
        <v>1</v>
      </c>
      <c r="I130" s="20" t="str">
        <f aca="false">Charts_Snapshot!N122</f>
        <v>N</v>
      </c>
      <c r="J130" s="6" t="n">
        <f aca="false">MIN(MATCH(G130,BSR_Table!$A$2:$A$14,1),12)</f>
        <v>5</v>
      </c>
      <c r="K130" s="8" t="n">
        <f aca="false">INDEX(BSR_Table!$A$2:$A$14,J130)</f>
        <v>1000</v>
      </c>
      <c r="L130" s="8" t="n">
        <f aca="false">INDEX(BSR_Table!$A$2:$A$14,J130+1)</f>
        <v>2000</v>
      </c>
      <c r="M130" s="23" t="n">
        <f aca="false">INDEX(BSR_Table!$B$2:$B$14,J130)</f>
        <v>120</v>
      </c>
      <c r="N130" s="23" t="n">
        <f aca="false">INDEX(BSR_Table!$B$2:$B$14,J130+1)</f>
        <v>65</v>
      </c>
      <c r="O130" s="10" t="n">
        <f aca="false">EXP(LN(M130)+(LN(G130)-LN(K130))*(LN(N130)-LN(M130))/(LN(L130)-LN(K130)))</f>
        <v>67.0809648350148</v>
      </c>
      <c r="P130" s="10" t="n">
        <f aca="false">O130*(1-$B$2)</f>
        <v>40.2485789010089</v>
      </c>
      <c r="Q130" s="10" t="n">
        <f aca="false">O130*(1+$B$2)</f>
        <v>93.9133507690208</v>
      </c>
      <c r="R130" s="7" t="n">
        <f aca="false">IF(AND(F130&gt;=$B$4,F130&lt;=$B$5),MAX(0.7*F130-$B$3*H130,0.35*F130),0.35*F130)</f>
        <v>5.2465</v>
      </c>
      <c r="S130" s="8" t="n">
        <f aca="false">O130*$B$6</f>
        <v>2012.42894505044</v>
      </c>
      <c r="T130" s="24" t="n">
        <f aca="false">S130*R130</f>
        <v>10558.2084602072</v>
      </c>
      <c r="U130" s="24" t="n">
        <f aca="false">P130*$B$6*R130</f>
        <v>6334.9250761243</v>
      </c>
      <c r="V130" s="24" t="n">
        <f aca="false">Q130*$B$6*R130</f>
        <v>14781.49184429</v>
      </c>
      <c r="W130" s="6" t="s">
        <v>1160</v>
      </c>
    </row>
    <row r="131" customFormat="false" ht="15" hidden="false" customHeight="false" outlineLevel="0" collapsed="false">
      <c r="A131" s="20" t="str">
        <f aca="false">Charts_Snapshot!A123</f>
        <v>Time Management|2</v>
      </c>
      <c r="B131" s="20" t="str">
        <f aca="false">Charts_Snapshot!B123</f>
        <v>Time Management</v>
      </c>
      <c r="C131" s="20" t="n">
        <f aca="false">Charts_Snapshot!D123</f>
        <v>2</v>
      </c>
      <c r="D131" s="20" t="str">
        <f aca="false">Charts_Snapshot!E123</f>
        <v>Deep Work: Rules for Focused Success in a Distracted World</v>
      </c>
      <c r="E131" s="20" t="str">
        <f aca="false">Charts_Snapshot!H123</f>
        <v>Traditional/established press</v>
      </c>
      <c r="F131" s="21" t="n">
        <f aca="false">Charts_Snapshot!J123</f>
        <v>4.99</v>
      </c>
      <c r="G131" s="22" t="n">
        <f aca="false">Charts_Snapshot!M123</f>
        <v>1985</v>
      </c>
      <c r="H131" s="20" t="n">
        <f aca="false">Charts_Snapshot!P123</f>
        <v>1.7</v>
      </c>
      <c r="I131" s="20" t="str">
        <f aca="false">Charts_Snapshot!N123</f>
        <v>N</v>
      </c>
      <c r="J131" s="6" t="n">
        <f aca="false">MIN(MATCH(G131,BSR_Table!$A$2:$A$14,1),12)</f>
        <v>5</v>
      </c>
      <c r="K131" s="8" t="n">
        <f aca="false">INDEX(BSR_Table!$A$2:$A$14,J131)</f>
        <v>1000</v>
      </c>
      <c r="L131" s="8" t="n">
        <f aca="false">INDEX(BSR_Table!$A$2:$A$14,J131+1)</f>
        <v>2000</v>
      </c>
      <c r="M131" s="23" t="n">
        <f aca="false">INDEX(BSR_Table!$B$2:$B$14,J131)</f>
        <v>120</v>
      </c>
      <c r="N131" s="23" t="n">
        <f aca="false">INDEX(BSR_Table!$B$2:$B$14,J131+1)</f>
        <v>65</v>
      </c>
      <c r="O131" s="10" t="n">
        <f aca="false">EXP(LN(M131)+(LN(G131)-LN(K131))*(LN(N131)-LN(M131))/(LN(L131)-LN(K131)))</f>
        <v>65.4342743004753</v>
      </c>
      <c r="P131" s="10" t="n">
        <f aca="false">O131*(1-$B$2)</f>
        <v>39.2605645802852</v>
      </c>
      <c r="Q131" s="10" t="n">
        <f aca="false">O131*(1+$B$2)</f>
        <v>91.6079840206654</v>
      </c>
      <c r="R131" s="7" t="n">
        <f aca="false">IF(AND(F131&gt;=$B$4,F131&lt;=$B$5),MAX(0.7*F131-$B$3*H131,0.35*F131),0.35*F131)</f>
        <v>3.238</v>
      </c>
      <c r="S131" s="8" t="n">
        <f aca="false">O131*$B$6</f>
        <v>1963.02822901426</v>
      </c>
      <c r="T131" s="24" t="n">
        <f aca="false">S131*R131</f>
        <v>6356.28540554817</v>
      </c>
      <c r="U131" s="24" t="n">
        <f aca="false">P131*$B$6*R131</f>
        <v>3813.7712433289</v>
      </c>
      <c r="V131" s="24" t="n">
        <f aca="false">Q131*$B$6*R131</f>
        <v>8898.79956776744</v>
      </c>
      <c r="W131" s="6" t="s">
        <v>1160</v>
      </c>
    </row>
    <row r="132" customFormat="false" ht="15" hidden="false" customHeight="false" outlineLevel="0" collapsed="false">
      <c r="A132" s="20" t="str">
        <f aca="false">Charts_Snapshot!A124</f>
        <v>Time Management|3</v>
      </c>
      <c r="B132" s="20" t="str">
        <f aca="false">Charts_Snapshot!B124</f>
        <v>Time Management</v>
      </c>
      <c r="C132" s="20" t="n">
        <f aca="false">Charts_Snapshot!D124</f>
        <v>3</v>
      </c>
      <c r="D132" s="20" t="str">
        <f aca="false">Charts_Snapshot!E124</f>
        <v>Meditations for Mortals: Four Weeks to Embrace Your Limitations and Make Time for What Counts</v>
      </c>
      <c r="E132" s="20" t="str">
        <f aca="false">Charts_Snapshot!H124</f>
        <v>Traditional/established press</v>
      </c>
      <c r="F132" s="21" t="n">
        <f aca="false">Charts_Snapshot!J124</f>
        <v>11.99</v>
      </c>
      <c r="G132" s="22" t="n">
        <f aca="false">Charts_Snapshot!M124</f>
        <v>2339</v>
      </c>
      <c r="H132" s="20" t="n">
        <f aca="false">Charts_Snapshot!P124</f>
        <v>2.7</v>
      </c>
      <c r="I132" s="20" t="str">
        <f aca="false">Charts_Snapshot!N124</f>
        <v>N</v>
      </c>
      <c r="J132" s="6" t="n">
        <f aca="false">MIN(MATCH(G132,BSR_Table!$A$2:$A$14,1),12)</f>
        <v>6</v>
      </c>
      <c r="K132" s="8" t="n">
        <f aca="false">INDEX(BSR_Table!$A$2:$A$14,J132)</f>
        <v>2000</v>
      </c>
      <c r="L132" s="8" t="n">
        <f aca="false">INDEX(BSR_Table!$A$2:$A$14,J132+1)</f>
        <v>5000</v>
      </c>
      <c r="M132" s="23" t="n">
        <f aca="false">INDEX(BSR_Table!$B$2:$B$14,J132)</f>
        <v>65</v>
      </c>
      <c r="N132" s="23" t="n">
        <f aca="false">INDEX(BSR_Table!$B$2:$B$14,J132+1)</f>
        <v>30</v>
      </c>
      <c r="O132" s="10" t="n">
        <f aca="false">EXP(LN(M132)+(LN(G132)-LN(K132))*(LN(N132)-LN(M132))/(LN(L132)-LN(K132)))</f>
        <v>56.9551502506633</v>
      </c>
      <c r="P132" s="10" t="n">
        <f aca="false">O132*(1-$B$2)</f>
        <v>34.173090150398</v>
      </c>
      <c r="Q132" s="10" t="n">
        <f aca="false">O132*(1+$B$2)</f>
        <v>79.7372103509287</v>
      </c>
      <c r="R132" s="7" t="n">
        <f aca="false">IF(AND(F132&gt;=$B$4,F132&lt;=$B$5),MAX(0.7*F132-$B$3*H132,0.35*F132),0.35*F132)</f>
        <v>7.988</v>
      </c>
      <c r="S132" s="8" t="n">
        <f aca="false">O132*$B$6</f>
        <v>1708.6545075199</v>
      </c>
      <c r="T132" s="24" t="n">
        <f aca="false">S132*R132</f>
        <v>13648.732206069</v>
      </c>
      <c r="U132" s="24" t="n">
        <f aca="false">P132*$B$6*R132</f>
        <v>8189.23932364138</v>
      </c>
      <c r="V132" s="24" t="n">
        <f aca="false">Q132*$B$6*R132</f>
        <v>19108.2250884965</v>
      </c>
      <c r="W132" s="6" t="s">
        <v>1160</v>
      </c>
    </row>
    <row r="133" customFormat="false" ht="15" hidden="false" customHeight="false" outlineLevel="0" collapsed="false">
      <c r="A133" s="20" t="str">
        <f aca="false">Charts_Snapshot!A125</f>
        <v>Time Management|4</v>
      </c>
      <c r="B133" s="20" t="str">
        <f aca="false">Charts_Snapshot!B125</f>
        <v>Time Management</v>
      </c>
      <c r="C133" s="20" t="n">
        <f aca="false">Charts_Snapshot!D125</f>
        <v>4</v>
      </c>
      <c r="D133" s="20" t="str">
        <f aca="false">Charts_Snapshot!E125</f>
        <v>Dopamine Detox : A Short Guide to Remove Distractions and Get Your Brain to Do Hard Things (Productivity Series Book 1)</v>
      </c>
      <c r="E133" s="20" t="str">
        <f aca="false">Charts_Snapshot!H125</f>
        <v>Indie (no publisher listed)</v>
      </c>
      <c r="F133" s="21" t="n">
        <f aca="false">Charts_Snapshot!J125</f>
        <v>2.99</v>
      </c>
      <c r="G133" s="22" t="n">
        <f aca="false">Charts_Snapshot!M125</f>
        <v>2573</v>
      </c>
      <c r="H133" s="20" t="n">
        <f aca="false">Charts_Snapshot!P125</f>
        <v>1.3</v>
      </c>
      <c r="I133" s="20" t="str">
        <f aca="false">Charts_Snapshot!N125</f>
        <v>Y</v>
      </c>
      <c r="J133" s="6" t="n">
        <f aca="false">MIN(MATCH(G133,BSR_Table!$A$2:$A$14,1),12)</f>
        <v>6</v>
      </c>
      <c r="K133" s="8" t="n">
        <f aca="false">INDEX(BSR_Table!$A$2:$A$14,J133)</f>
        <v>2000</v>
      </c>
      <c r="L133" s="8" t="n">
        <f aca="false">INDEX(BSR_Table!$A$2:$A$14,J133+1)</f>
        <v>5000</v>
      </c>
      <c r="M133" s="23" t="n">
        <f aca="false">INDEX(BSR_Table!$B$2:$B$14,J133)</f>
        <v>65</v>
      </c>
      <c r="N133" s="23" t="n">
        <f aca="false">INDEX(BSR_Table!$B$2:$B$14,J133+1)</f>
        <v>30</v>
      </c>
      <c r="O133" s="10" t="n">
        <f aca="false">EXP(LN(M133)+(LN(G133)-LN(K133))*(LN(N133)-LN(M133))/(LN(L133)-LN(K133)))</f>
        <v>52.5521559059113</v>
      </c>
      <c r="P133" s="10" t="n">
        <f aca="false">O133*(1-$B$2)</f>
        <v>31.5312935435468</v>
      </c>
      <c r="Q133" s="10" t="n">
        <f aca="false">O133*(1+$B$2)</f>
        <v>73.5730182682758</v>
      </c>
      <c r="R133" s="7" t="n">
        <f aca="false">IF(AND(F133&gt;=$B$4,F133&lt;=$B$5),MAX(0.7*F133-$B$3*H133,0.35*F133),0.35*F133)</f>
        <v>1.898</v>
      </c>
      <c r="S133" s="8" t="n">
        <f aca="false">O133*$B$6</f>
        <v>1576.56467717734</v>
      </c>
      <c r="T133" s="24" t="n">
        <f aca="false">S133*R133</f>
        <v>2992.31975728259</v>
      </c>
      <c r="U133" s="24" t="n">
        <f aca="false">P133*$B$6*R133</f>
        <v>1795.39185436955</v>
      </c>
      <c r="V133" s="24" t="n">
        <f aca="false">Q133*$B$6*R133</f>
        <v>4189.24766019562</v>
      </c>
      <c r="W133" s="6" t="s">
        <v>1160</v>
      </c>
    </row>
    <row r="134" customFormat="false" ht="15" hidden="false" customHeight="false" outlineLevel="0" collapsed="false">
      <c r="A134" s="20" t="str">
        <f aca="false">Charts_Snapshot!A126</f>
        <v>Time Management|5</v>
      </c>
      <c r="B134" s="20" t="str">
        <f aca="false">Charts_Snapshot!B126</f>
        <v>Time Management</v>
      </c>
      <c r="C134" s="20" t="n">
        <f aca="false">Charts_Snapshot!D126</f>
        <v>5</v>
      </c>
      <c r="D134" s="20" t="str">
        <f aca="false">Charts_Snapshot!E126</f>
        <v>Four Thousand Weeks: Time Management for Mortals</v>
      </c>
      <c r="E134" s="20" t="str">
        <f aca="false">Charts_Snapshot!H126</f>
        <v>Traditional/established press</v>
      </c>
      <c r="F134" s="21" t="n">
        <f aca="false">Charts_Snapshot!J126</f>
        <v>11.99</v>
      </c>
      <c r="G134" s="22" t="n">
        <f aca="false">Charts_Snapshot!M126</f>
        <v>4173</v>
      </c>
      <c r="H134" s="20" t="n">
        <f aca="false">Charts_Snapshot!P126</f>
        <v>2.6</v>
      </c>
      <c r="I134" s="20" t="str">
        <f aca="false">Charts_Snapshot!N126</f>
        <v>Y</v>
      </c>
      <c r="J134" s="6" t="n">
        <f aca="false">MIN(MATCH(G134,BSR_Table!$A$2:$A$14,1),12)</f>
        <v>6</v>
      </c>
      <c r="K134" s="8" t="n">
        <f aca="false">INDEX(BSR_Table!$A$2:$A$14,J134)</f>
        <v>2000</v>
      </c>
      <c r="L134" s="8" t="n">
        <f aca="false">INDEX(BSR_Table!$A$2:$A$14,J134+1)</f>
        <v>5000</v>
      </c>
      <c r="M134" s="23" t="n">
        <f aca="false">INDEX(BSR_Table!$B$2:$B$14,J134)</f>
        <v>65</v>
      </c>
      <c r="N134" s="23" t="n">
        <f aca="false">INDEX(BSR_Table!$B$2:$B$14,J134+1)</f>
        <v>30</v>
      </c>
      <c r="O134" s="10" t="n">
        <f aca="false">EXP(LN(M134)+(LN(G134)-LN(K134))*(LN(N134)-LN(M134))/(LN(L134)-LN(K134)))</f>
        <v>34.944580738286</v>
      </c>
      <c r="P134" s="10" t="n">
        <f aca="false">O134*(1-$B$2)</f>
        <v>20.9667484429716</v>
      </c>
      <c r="Q134" s="10" t="n">
        <f aca="false">O134*(1+$B$2)</f>
        <v>48.9224130336004</v>
      </c>
      <c r="R134" s="7" t="n">
        <f aca="false">IF(AND(F134&gt;=$B$4,F134&lt;=$B$5),MAX(0.7*F134-$B$3*H134,0.35*F134),0.35*F134)</f>
        <v>8.003</v>
      </c>
      <c r="S134" s="8" t="n">
        <f aca="false">O134*$B$6</f>
        <v>1048.33742214858</v>
      </c>
      <c r="T134" s="24" t="n">
        <f aca="false">S134*R134</f>
        <v>8389.84438945509</v>
      </c>
      <c r="U134" s="24" t="n">
        <f aca="false">P134*$B$6*R134</f>
        <v>5033.90663367306</v>
      </c>
      <c r="V134" s="24" t="n">
        <f aca="false">Q134*$B$6*R134</f>
        <v>11745.7821452371</v>
      </c>
      <c r="W134" s="6" t="s">
        <v>1160</v>
      </c>
    </row>
    <row r="135" customFormat="false" ht="15" hidden="false" customHeight="false" outlineLevel="0" collapsed="false">
      <c r="A135" s="20" t="str">
        <f aca="false">Charts_Snapshot!A127</f>
        <v>Time Management|6</v>
      </c>
      <c r="B135" s="20" t="str">
        <f aca="false">Charts_Snapshot!B127</f>
        <v>Time Management</v>
      </c>
      <c r="C135" s="20" t="n">
        <f aca="false">Charts_Snapshot!D127</f>
        <v>6</v>
      </c>
      <c r="D135" s="20" t="str">
        <f aca="false">Charts_Snapshot!E127</f>
        <v>Multipliers, Revised and Updated: How the Best Leaders Make Everyone Smarter</v>
      </c>
      <c r="E135" s="20" t="str">
        <f aca="false">Charts_Snapshot!H127</f>
        <v>Traditional/established press</v>
      </c>
      <c r="F135" s="21" t="n">
        <f aca="false">Charts_Snapshot!J127</f>
        <v>2.99</v>
      </c>
      <c r="G135" s="22" t="n">
        <f aca="false">Charts_Snapshot!M127</f>
        <v>5722</v>
      </c>
      <c r="H135" s="20" t="n">
        <f aca="false">Charts_Snapshot!P127</f>
        <v>6.3</v>
      </c>
      <c r="I135" s="20" t="str">
        <f aca="false">Charts_Snapshot!N127</f>
        <v>Y</v>
      </c>
      <c r="J135" s="6" t="n">
        <f aca="false">MIN(MATCH(G135,BSR_Table!$A$2:$A$14,1),12)</f>
        <v>7</v>
      </c>
      <c r="K135" s="8" t="n">
        <f aca="false">INDEX(BSR_Table!$A$2:$A$14,J135)</f>
        <v>5000</v>
      </c>
      <c r="L135" s="8" t="n">
        <f aca="false">INDEX(BSR_Table!$A$2:$A$14,J135+1)</f>
        <v>10000</v>
      </c>
      <c r="M135" s="23" t="n">
        <f aca="false">INDEX(BSR_Table!$B$2:$B$14,J135)</f>
        <v>30</v>
      </c>
      <c r="N135" s="23" t="n">
        <f aca="false">INDEX(BSR_Table!$B$2:$B$14,J135+1)</f>
        <v>20</v>
      </c>
      <c r="O135" s="10" t="n">
        <f aca="false">EXP(LN(M135)+(LN(G135)-LN(K135))*(LN(N135)-LN(M135))/(LN(L135)-LN(K135)))</f>
        <v>27.7239693218542</v>
      </c>
      <c r="P135" s="10" t="n">
        <f aca="false">O135*(1-$B$2)</f>
        <v>16.6343815931125</v>
      </c>
      <c r="Q135" s="10" t="n">
        <f aca="false">O135*(1+$B$2)</f>
        <v>38.8135570505958</v>
      </c>
      <c r="R135" s="7" t="n">
        <f aca="false">IF(AND(F135&gt;=$B$4,F135&lt;=$B$5),MAX(0.7*F135-$B$3*H135,0.35*F135),0.35*F135)</f>
        <v>1.148</v>
      </c>
      <c r="S135" s="8" t="n">
        <f aca="false">O135*$B$6</f>
        <v>831.719079655625</v>
      </c>
      <c r="T135" s="24" t="n">
        <f aca="false">S135*R135</f>
        <v>954.813503444658</v>
      </c>
      <c r="U135" s="24" t="n">
        <f aca="false">P135*$B$6*R135</f>
        <v>572.888102066794</v>
      </c>
      <c r="V135" s="24" t="n">
        <f aca="false">Q135*$B$6*R135</f>
        <v>1336.73890482252</v>
      </c>
      <c r="W135" s="6" t="s">
        <v>1160</v>
      </c>
    </row>
    <row r="136" customFormat="false" ht="15" hidden="false" customHeight="false" outlineLevel="0" collapsed="false">
      <c r="A136" s="20" t="str">
        <f aca="false">Charts_Snapshot!A128</f>
        <v>Time Management|7</v>
      </c>
      <c r="B136" s="20" t="str">
        <f aca="false">Charts_Snapshot!B128</f>
        <v>Time Management</v>
      </c>
      <c r="C136" s="20" t="n">
        <f aca="false">Charts_Snapshot!D128</f>
        <v>7</v>
      </c>
      <c r="D136" s="20" t="str">
        <f aca="false">Charts_Snapshot!E128</f>
        <v>Fair Play: Reese's Book Club: A Game-Changing Solution for When You Have Too Much to Do (and More Life to Live)</v>
      </c>
      <c r="E136" s="20" t="str">
        <f aca="false">Charts_Snapshot!H128</f>
        <v>Traditional/established press</v>
      </c>
      <c r="F136" s="21" t="n">
        <f aca="false">Charts_Snapshot!J128</f>
        <v>1.99</v>
      </c>
      <c r="G136" s="22" t="n">
        <f aca="false">Charts_Snapshot!M128</f>
        <v>8217</v>
      </c>
      <c r="H136" s="20" t="n">
        <f aca="false">Charts_Snapshot!P128</f>
        <v>10.9</v>
      </c>
      <c r="I136" s="20" t="str">
        <f aca="false">Charts_Snapshot!N128</f>
        <v>N</v>
      </c>
      <c r="J136" s="6" t="n">
        <f aca="false">MIN(MATCH(G136,BSR_Table!$A$2:$A$14,1),12)</f>
        <v>7</v>
      </c>
      <c r="K136" s="8" t="n">
        <f aca="false">INDEX(BSR_Table!$A$2:$A$14,J136)</f>
        <v>5000</v>
      </c>
      <c r="L136" s="8" t="n">
        <f aca="false">INDEX(BSR_Table!$A$2:$A$14,J136+1)</f>
        <v>10000</v>
      </c>
      <c r="M136" s="23" t="n">
        <f aca="false">INDEX(BSR_Table!$B$2:$B$14,J136)</f>
        <v>30</v>
      </c>
      <c r="N136" s="23" t="n">
        <f aca="false">INDEX(BSR_Table!$B$2:$B$14,J136+1)</f>
        <v>20</v>
      </c>
      <c r="O136" s="10" t="n">
        <f aca="false">EXP(LN(M136)+(LN(G136)-LN(K136))*(LN(N136)-LN(M136))/(LN(L136)-LN(K136)))</f>
        <v>22.4346616768553</v>
      </c>
      <c r="P136" s="10" t="n">
        <f aca="false">O136*(1-$B$2)</f>
        <v>13.4607970061132</v>
      </c>
      <c r="Q136" s="10" t="n">
        <f aca="false">O136*(1+$B$2)</f>
        <v>31.4085263475975</v>
      </c>
      <c r="R136" s="7" t="n">
        <f aca="false">IF(AND(F136&gt;=$B$4,F136&lt;=$B$5),MAX(0.7*F136-$B$3*H136,0.35*F136),0.35*F136)</f>
        <v>0.6965</v>
      </c>
      <c r="S136" s="8" t="n">
        <f aca="false">O136*$B$6</f>
        <v>673.03985030566</v>
      </c>
      <c r="T136" s="24" t="n">
        <f aca="false">S136*R136</f>
        <v>468.772255737892</v>
      </c>
      <c r="U136" s="24" t="n">
        <f aca="false">P136*$B$6*R136</f>
        <v>281.263353442735</v>
      </c>
      <c r="V136" s="24" t="n">
        <f aca="false">Q136*$B$6*R136</f>
        <v>656.281158033049</v>
      </c>
      <c r="W136" s="6" t="s">
        <v>1160</v>
      </c>
    </row>
    <row r="137" customFormat="false" ht="15" hidden="false" customHeight="false" outlineLevel="0" collapsed="false">
      <c r="A137" s="20" t="str">
        <f aca="false">Charts_Snapshot!A129</f>
        <v>Time Management|8</v>
      </c>
      <c r="B137" s="20" t="str">
        <f aca="false">Charts_Snapshot!B129</f>
        <v>Time Management</v>
      </c>
      <c r="C137" s="20" t="n">
        <f aca="false">Charts_Snapshot!D129</f>
        <v>8</v>
      </c>
      <c r="D137" s="20" t="str">
        <f aca="false">Charts_Snapshot!E129</f>
        <v>Eat That Frog!, Fourth Edition: 21 Great Ways to Stop Procrastinating and Get More Done in Less Time</v>
      </c>
      <c r="E137" s="20" t="str">
        <f aca="false">Charts_Snapshot!H129</f>
        <v>Traditional/established press</v>
      </c>
      <c r="F137" s="21" t="n">
        <f aca="false">Charts_Snapshot!J129</f>
        <v>3.99</v>
      </c>
      <c r="G137" s="22" t="n">
        <f aca="false">Charts_Snapshot!M129</f>
        <v>8360</v>
      </c>
      <c r="H137" s="20" t="n">
        <f aca="false">Charts_Snapshot!P129</f>
        <v>3.1</v>
      </c>
      <c r="I137" s="20" t="str">
        <f aca="false">Charts_Snapshot!N129</f>
        <v>N</v>
      </c>
      <c r="J137" s="6" t="n">
        <f aca="false">MIN(MATCH(G137,BSR_Table!$A$2:$A$14,1),12)</f>
        <v>7</v>
      </c>
      <c r="K137" s="8" t="n">
        <f aca="false">INDEX(BSR_Table!$A$2:$A$14,J137)</f>
        <v>5000</v>
      </c>
      <c r="L137" s="8" t="n">
        <f aca="false">INDEX(BSR_Table!$A$2:$A$14,J137+1)</f>
        <v>10000</v>
      </c>
      <c r="M137" s="23" t="n">
        <f aca="false">INDEX(BSR_Table!$B$2:$B$14,J137)</f>
        <v>30</v>
      </c>
      <c r="N137" s="23" t="n">
        <f aca="false">INDEX(BSR_Table!$B$2:$B$14,J137+1)</f>
        <v>20</v>
      </c>
      <c r="O137" s="10" t="n">
        <f aca="false">EXP(LN(M137)+(LN(G137)-LN(K137))*(LN(N137)-LN(M137))/(LN(L137)-LN(K137)))</f>
        <v>22.2093785301821</v>
      </c>
      <c r="P137" s="10" t="n">
        <f aca="false">O137*(1-$B$2)</f>
        <v>13.3256271181093</v>
      </c>
      <c r="Q137" s="10" t="n">
        <f aca="false">O137*(1+$B$2)</f>
        <v>31.093129942255</v>
      </c>
      <c r="R137" s="7" t="n">
        <f aca="false">IF(AND(F137&gt;=$B$4,F137&lt;=$B$5),MAX(0.7*F137-$B$3*H137,0.35*F137),0.35*F137)</f>
        <v>2.328</v>
      </c>
      <c r="S137" s="8" t="n">
        <f aca="false">O137*$B$6</f>
        <v>666.281355905464</v>
      </c>
      <c r="T137" s="24" t="n">
        <f aca="false">S137*R137</f>
        <v>1551.10299654792</v>
      </c>
      <c r="U137" s="24" t="n">
        <f aca="false">P137*$B$6*R137</f>
        <v>930.661797928752</v>
      </c>
      <c r="V137" s="24" t="n">
        <f aca="false">Q137*$B$6*R137</f>
        <v>2171.54419516709</v>
      </c>
      <c r="W137" s="6" t="s">
        <v>1160</v>
      </c>
    </row>
    <row r="138" customFormat="false" ht="15" hidden="false" customHeight="false" outlineLevel="0" collapsed="false">
      <c r="A138" s="20" t="str">
        <f aca="false">Charts_Snapshot!A130</f>
        <v>Time Management|9</v>
      </c>
      <c r="B138" s="20" t="str">
        <f aca="false">Charts_Snapshot!B130</f>
        <v>Time Management</v>
      </c>
      <c r="C138" s="20" t="n">
        <f aca="false">Charts_Snapshot!D130</f>
        <v>9</v>
      </c>
      <c r="D138" s="20" t="str">
        <f aca="false">Charts_Snapshot!E130</f>
        <v>The Now Habit: A Strategic Program for Overcoming Procrastination and Enjoying Guilt-Free Play</v>
      </c>
      <c r="E138" s="20" t="str">
        <f aca="false">Charts_Snapshot!H130</f>
        <v>Traditional/established press</v>
      </c>
      <c r="F138" s="21" t="n">
        <f aca="false">Charts_Snapshot!J130</f>
        <v>1.99</v>
      </c>
      <c r="G138" s="22" t="n">
        <f aca="false">Charts_Snapshot!M130</f>
        <v>10028</v>
      </c>
      <c r="H138" s="20" t="n">
        <f aca="false">Charts_Snapshot!P130</f>
        <v>4.8</v>
      </c>
      <c r="I138" s="20" t="str">
        <f aca="false">Charts_Snapshot!N130</f>
        <v>N</v>
      </c>
      <c r="J138" s="6" t="n">
        <f aca="false">MIN(MATCH(G138,BSR_Table!$A$2:$A$14,1),12)</f>
        <v>8</v>
      </c>
      <c r="K138" s="8" t="n">
        <f aca="false">INDEX(BSR_Table!$A$2:$A$14,J138)</f>
        <v>10000</v>
      </c>
      <c r="L138" s="8" t="n">
        <f aca="false">INDEX(BSR_Table!$A$2:$A$14,J138+1)</f>
        <v>20000</v>
      </c>
      <c r="M138" s="23" t="n">
        <f aca="false">INDEX(BSR_Table!$B$2:$B$14,J138)</f>
        <v>20</v>
      </c>
      <c r="N138" s="23" t="n">
        <f aca="false">INDEX(BSR_Table!$B$2:$B$14,J138+1)</f>
        <v>10</v>
      </c>
      <c r="O138" s="10" t="n">
        <f aca="false">EXP(LN(M138)+(LN(G138)-LN(K138))*(LN(N138)-LN(M138))/(LN(L138)-LN(K138)))</f>
        <v>19.9441563621859</v>
      </c>
      <c r="P138" s="10" t="n">
        <f aca="false">O138*(1-$B$2)</f>
        <v>11.9664938173115</v>
      </c>
      <c r="Q138" s="10" t="n">
        <f aca="false">O138*(1+$B$2)</f>
        <v>27.9218189070603</v>
      </c>
      <c r="R138" s="7" t="n">
        <f aca="false">IF(AND(F138&gt;=$B$4,F138&lt;=$B$5),MAX(0.7*F138-$B$3*H138,0.35*F138),0.35*F138)</f>
        <v>0.6965</v>
      </c>
      <c r="S138" s="8" t="n">
        <f aca="false">O138*$B$6</f>
        <v>598.324690865577</v>
      </c>
      <c r="T138" s="24" t="n">
        <f aca="false">S138*R138</f>
        <v>416.733147187874</v>
      </c>
      <c r="U138" s="24" t="n">
        <f aca="false">P138*$B$6*R138</f>
        <v>250.039888312725</v>
      </c>
      <c r="V138" s="24" t="n">
        <f aca="false">Q138*$B$6*R138</f>
        <v>583.426406063024</v>
      </c>
      <c r="W138" s="6" t="s">
        <v>1160</v>
      </c>
    </row>
    <row r="139" customFormat="false" ht="15" hidden="false" customHeight="false" outlineLevel="0" collapsed="false">
      <c r="A139" s="20" t="str">
        <f aca="false">Charts_Snapshot!A131</f>
        <v>Time Management|10</v>
      </c>
      <c r="B139" s="20" t="str">
        <f aca="false">Charts_Snapshot!B131</f>
        <v>Time Management</v>
      </c>
      <c r="C139" s="20" t="n">
        <f aca="false">Charts_Snapshot!D131</f>
        <v>10</v>
      </c>
      <c r="D139" s="20" t="str">
        <f aca="false">Charts_Snapshot!E131</f>
        <v>2026 Planner &amp; Calendar (Kindle Scribe Only)</v>
      </c>
      <c r="E139" s="20" t="str">
        <f aca="false">Charts_Snapshot!H131</f>
        <v>Indie (no publisher listed)</v>
      </c>
      <c r="F139" s="21" t="n">
        <f aca="false">Charts_Snapshot!J131</f>
        <v>2.99</v>
      </c>
      <c r="G139" s="22" t="n">
        <f aca="false">Charts_Snapshot!M131</f>
        <v>10036</v>
      </c>
      <c r="H139" s="20" t="n">
        <f aca="false">Charts_Snapshot!P131</f>
        <v>4.9</v>
      </c>
      <c r="I139" s="20" t="str">
        <f aca="false">Charts_Snapshot!N131</f>
        <v>Y</v>
      </c>
      <c r="J139" s="6" t="n">
        <f aca="false">MIN(MATCH(G139,BSR_Table!$A$2:$A$14,1),12)</f>
        <v>8</v>
      </c>
      <c r="K139" s="8" t="n">
        <f aca="false">INDEX(BSR_Table!$A$2:$A$14,J139)</f>
        <v>10000</v>
      </c>
      <c r="L139" s="8" t="n">
        <f aca="false">INDEX(BSR_Table!$A$2:$A$14,J139+1)</f>
        <v>20000</v>
      </c>
      <c r="M139" s="23" t="n">
        <f aca="false">INDEX(BSR_Table!$B$2:$B$14,J139)</f>
        <v>20</v>
      </c>
      <c r="N139" s="23" t="n">
        <f aca="false">INDEX(BSR_Table!$B$2:$B$14,J139+1)</f>
        <v>10</v>
      </c>
      <c r="O139" s="10" t="n">
        <f aca="false">EXP(LN(M139)+(LN(G139)-LN(K139))*(LN(N139)-LN(M139))/(LN(L139)-LN(K139)))</f>
        <v>19.9282582702272</v>
      </c>
      <c r="P139" s="10" t="n">
        <f aca="false">O139*(1-$B$2)</f>
        <v>11.9569549621363</v>
      </c>
      <c r="Q139" s="10" t="n">
        <f aca="false">O139*(1+$B$2)</f>
        <v>27.8995615783181</v>
      </c>
      <c r="R139" s="7" t="n">
        <f aca="false">IF(AND(F139&gt;=$B$4,F139&lt;=$B$5),MAX(0.7*F139-$B$3*H139,0.35*F139),0.35*F139)</f>
        <v>1.358</v>
      </c>
      <c r="S139" s="8" t="n">
        <f aca="false">O139*$B$6</f>
        <v>597.847748106816</v>
      </c>
      <c r="T139" s="24" t="n">
        <f aca="false">S139*R139</f>
        <v>811.877241929056</v>
      </c>
      <c r="U139" s="24" t="n">
        <f aca="false">P139*$B$6*R139</f>
        <v>487.126345157434</v>
      </c>
      <c r="V139" s="24" t="n">
        <f aca="false">Q139*$B$6*R139</f>
        <v>1136.62813870068</v>
      </c>
      <c r="W139" s="6" t="s">
        <v>1160</v>
      </c>
    </row>
    <row r="140" customFormat="false" ht="15" hidden="false" customHeight="false" outlineLevel="0" collapsed="false">
      <c r="A140" s="20" t="str">
        <f aca="false">Charts_Snapshot!A132</f>
        <v>Time Management|11</v>
      </c>
      <c r="B140" s="20" t="str">
        <f aca="false">Charts_Snapshot!B132</f>
        <v>Time Management</v>
      </c>
      <c r="C140" s="20" t="n">
        <f aca="false">Charts_Snapshot!D132</f>
        <v>11</v>
      </c>
      <c r="D140" s="20" t="str">
        <f aca="false">Charts_Snapshot!E132</f>
        <v>Decluttering at the Speed of Life: Winning Your Never-Ending Battle with Stuff</v>
      </c>
      <c r="E140" s="20" t="str">
        <f aca="false">Charts_Snapshot!H132</f>
        <v>Traditional/established press</v>
      </c>
      <c r="F140" s="21" t="n">
        <f aca="false">Charts_Snapshot!J132</f>
        <v>2.99</v>
      </c>
      <c r="G140" s="22" t="n">
        <f aca="false">Charts_Snapshot!M132</f>
        <v>10396</v>
      </c>
      <c r="H140" s="20" t="n">
        <f aca="false">Charts_Snapshot!P132</f>
        <v>2.4</v>
      </c>
      <c r="I140" s="20" t="str">
        <f aca="false">Charts_Snapshot!N132</f>
        <v>Y</v>
      </c>
      <c r="J140" s="6" t="n">
        <f aca="false">MIN(MATCH(G140,BSR_Table!$A$2:$A$14,1),12)</f>
        <v>8</v>
      </c>
      <c r="K140" s="8" t="n">
        <f aca="false">INDEX(BSR_Table!$A$2:$A$14,J140)</f>
        <v>10000</v>
      </c>
      <c r="L140" s="8" t="n">
        <f aca="false">INDEX(BSR_Table!$A$2:$A$14,J140+1)</f>
        <v>20000</v>
      </c>
      <c r="M140" s="23" t="n">
        <f aca="false">INDEX(BSR_Table!$B$2:$B$14,J140)</f>
        <v>20</v>
      </c>
      <c r="N140" s="23" t="n">
        <f aca="false">INDEX(BSR_Table!$B$2:$B$14,J140+1)</f>
        <v>10</v>
      </c>
      <c r="O140" s="10" t="n">
        <f aca="false">EXP(LN(M140)+(LN(G140)-LN(K140))*(LN(N140)-LN(M140))/(LN(L140)-LN(K140)))</f>
        <v>19.2381685263563</v>
      </c>
      <c r="P140" s="10" t="n">
        <f aca="false">O140*(1-$B$2)</f>
        <v>11.5429011158138</v>
      </c>
      <c r="Q140" s="10" t="n">
        <f aca="false">O140*(1+$B$2)</f>
        <v>26.9334359368988</v>
      </c>
      <c r="R140" s="7" t="n">
        <f aca="false">IF(AND(F140&gt;=$B$4,F140&lt;=$B$5),MAX(0.7*F140-$B$3*H140,0.35*F140),0.35*F140)</f>
        <v>1.733</v>
      </c>
      <c r="S140" s="8" t="n">
        <f aca="false">O140*$B$6</f>
        <v>577.145055790689</v>
      </c>
      <c r="T140" s="24" t="n">
        <f aca="false">S140*R140</f>
        <v>1000.19238168526</v>
      </c>
      <c r="U140" s="24" t="n">
        <f aca="false">P140*$B$6*R140</f>
        <v>600.115429011158</v>
      </c>
      <c r="V140" s="24" t="n">
        <f aca="false">Q140*$B$6*R140</f>
        <v>1400.26933435937</v>
      </c>
      <c r="W140" s="6" t="s">
        <v>1160</v>
      </c>
    </row>
    <row r="141" customFormat="false" ht="15" hidden="false" customHeight="false" outlineLevel="0" collapsed="false">
      <c r="A141" s="20" t="str">
        <f aca="false">Charts_Snapshot!A133</f>
        <v>Time Management|12</v>
      </c>
      <c r="B141" s="20" t="str">
        <f aca="false">Charts_Snapshot!B133</f>
        <v>Time Management</v>
      </c>
      <c r="C141" s="20" t="n">
        <f aca="false">Charts_Snapshot!D133</f>
        <v>12</v>
      </c>
      <c r="D141" s="20" t="str">
        <f aca="false">Charts_Snapshot!E133</f>
        <v>Influence, New and Expanded: The Essential Guide to the Psychology of Influence and Persuasion in Everyday Life</v>
      </c>
      <c r="E141" s="20" t="str">
        <f aca="false">Charts_Snapshot!H133</f>
        <v>Traditional/established press</v>
      </c>
      <c r="F141" s="21" t="n">
        <f aca="false">Charts_Snapshot!J133</f>
        <v>2.99</v>
      </c>
      <c r="G141" s="22" t="n">
        <f aca="false">Charts_Snapshot!M133</f>
        <v>10874</v>
      </c>
      <c r="H141" s="20" t="n">
        <f aca="false">Charts_Snapshot!P133</f>
        <v>30.6</v>
      </c>
      <c r="I141" s="20" t="str">
        <f aca="false">Charts_Snapshot!N133</f>
        <v>N</v>
      </c>
      <c r="J141" s="6" t="n">
        <f aca="false">MIN(MATCH(G141,BSR_Table!$A$2:$A$14,1),12)</f>
        <v>8</v>
      </c>
      <c r="K141" s="8" t="n">
        <f aca="false">INDEX(BSR_Table!$A$2:$A$14,J141)</f>
        <v>10000</v>
      </c>
      <c r="L141" s="8" t="n">
        <f aca="false">INDEX(BSR_Table!$A$2:$A$14,J141+1)</f>
        <v>20000</v>
      </c>
      <c r="M141" s="23" t="n">
        <f aca="false">INDEX(BSR_Table!$B$2:$B$14,J141)</f>
        <v>20</v>
      </c>
      <c r="N141" s="23" t="n">
        <f aca="false">INDEX(BSR_Table!$B$2:$B$14,J141+1)</f>
        <v>10</v>
      </c>
      <c r="O141" s="10" t="n">
        <f aca="false">EXP(LN(M141)+(LN(G141)-LN(K141))*(LN(N141)-LN(M141))/(LN(L141)-LN(K141)))</f>
        <v>18.3924958616884</v>
      </c>
      <c r="P141" s="10" t="n">
        <f aca="false">O141*(1-$B$2)</f>
        <v>11.0354975170131</v>
      </c>
      <c r="Q141" s="10" t="n">
        <f aca="false">O141*(1+$B$2)</f>
        <v>25.7494942063638</v>
      </c>
      <c r="R141" s="7" t="n">
        <f aca="false">IF(AND(F141&gt;=$B$4,F141&lt;=$B$5),MAX(0.7*F141-$B$3*H141,0.35*F141),0.35*F141)</f>
        <v>1.0465</v>
      </c>
      <c r="S141" s="8" t="n">
        <f aca="false">O141*$B$6</f>
        <v>551.774875850653</v>
      </c>
      <c r="T141" s="24" t="n">
        <f aca="false">S141*R141</f>
        <v>577.432407577708</v>
      </c>
      <c r="U141" s="24" t="n">
        <f aca="false">P141*$B$6*R141</f>
        <v>346.459444546625</v>
      </c>
      <c r="V141" s="24" t="n">
        <f aca="false">Q141*$B$6*R141</f>
        <v>808.405370608791</v>
      </c>
      <c r="W141" s="6" t="s">
        <v>1160</v>
      </c>
    </row>
    <row r="142" customFormat="false" ht="15" hidden="false" customHeight="false" outlineLevel="0" collapsed="false">
      <c r="A142" s="20" t="str">
        <f aca="false">Charts_Snapshot!A134</f>
        <v>Time Management|13</v>
      </c>
      <c r="B142" s="20" t="str">
        <f aca="false">Charts_Snapshot!B134</f>
        <v>Time Management</v>
      </c>
      <c r="C142" s="20" t="n">
        <f aca="false">Charts_Snapshot!D134</f>
        <v>13</v>
      </c>
      <c r="D142" s="20" t="str">
        <f aca="false">Charts_Snapshot!E134</f>
        <v>ADHD is Awesome: A Guide to (Mostly) Thriving with ADHD</v>
      </c>
      <c r="E142" s="20" t="str">
        <f aca="false">Charts_Snapshot!H134</f>
        <v>Traditional/established press</v>
      </c>
      <c r="F142" s="21" t="n">
        <f aca="false">Charts_Snapshot!J134</f>
        <v>9.99</v>
      </c>
      <c r="G142" s="22" t="n">
        <f aca="false">Charts_Snapshot!M134</f>
        <v>12130</v>
      </c>
      <c r="H142" s="20" t="n">
        <f aca="false">Charts_Snapshot!P134</f>
        <v>27.5</v>
      </c>
      <c r="I142" s="20" t="str">
        <f aca="false">Charts_Snapshot!N134</f>
        <v>Y</v>
      </c>
      <c r="J142" s="6" t="n">
        <f aca="false">MIN(MATCH(G142,BSR_Table!$A$2:$A$14,1),12)</f>
        <v>8</v>
      </c>
      <c r="K142" s="8" t="n">
        <f aca="false">INDEX(BSR_Table!$A$2:$A$14,J142)</f>
        <v>10000</v>
      </c>
      <c r="L142" s="8" t="n">
        <f aca="false">INDEX(BSR_Table!$A$2:$A$14,J142+1)</f>
        <v>20000</v>
      </c>
      <c r="M142" s="23" t="n">
        <f aca="false">INDEX(BSR_Table!$B$2:$B$14,J142)</f>
        <v>20</v>
      </c>
      <c r="N142" s="23" t="n">
        <f aca="false">INDEX(BSR_Table!$B$2:$B$14,J142+1)</f>
        <v>10</v>
      </c>
      <c r="O142" s="10" t="n">
        <f aca="false">EXP(LN(M142)+(LN(G142)-LN(K142))*(LN(N142)-LN(M142))/(LN(L142)-LN(K142)))</f>
        <v>16.4880461665293</v>
      </c>
      <c r="P142" s="10" t="n">
        <f aca="false">O142*(1-$B$2)</f>
        <v>9.89282769991756</v>
      </c>
      <c r="Q142" s="10" t="n">
        <f aca="false">O142*(1+$B$2)</f>
        <v>23.083264633141</v>
      </c>
      <c r="R142" s="7" t="n">
        <f aca="false">IF(AND(F142&gt;=$B$4,F142&lt;=$B$5),MAX(0.7*F142-$B$3*H142,0.35*F142),0.35*F142)</f>
        <v>3.4965</v>
      </c>
      <c r="S142" s="8" t="n">
        <f aca="false">O142*$B$6</f>
        <v>494.641384995878</v>
      </c>
      <c r="T142" s="24" t="n">
        <f aca="false">S142*R142</f>
        <v>1729.51360263809</v>
      </c>
      <c r="U142" s="24" t="n">
        <f aca="false">P142*$B$6*R142</f>
        <v>1037.70816158285</v>
      </c>
      <c r="V142" s="24" t="n">
        <f aca="false">Q142*$B$6*R142</f>
        <v>2421.31904369332</v>
      </c>
      <c r="W142" s="6" t="s">
        <v>1160</v>
      </c>
    </row>
    <row r="143" customFormat="false" ht="15" hidden="false" customHeight="false" outlineLevel="0" collapsed="false">
      <c r="A143" s="20" t="str">
        <f aca="false">Charts_Snapshot!A135</f>
        <v>Time Management|14</v>
      </c>
      <c r="B143" s="20" t="str">
        <f aca="false">Charts_Snapshot!B135</f>
        <v>Time Management</v>
      </c>
      <c r="C143" s="20" t="n">
        <f aca="false">Charts_Snapshot!D135</f>
        <v>14</v>
      </c>
      <c r="D143" s="20" t="str">
        <f aca="false">Charts_Snapshot!E135</f>
        <v>Flow: The Psychology of Optimal Experience (Harper Perennial Modern Classics)</v>
      </c>
      <c r="E143" s="20" t="str">
        <f aca="false">Charts_Snapshot!H135</f>
        <v>Traditional/established press</v>
      </c>
      <c r="F143" s="21" t="n">
        <f aca="false">Charts_Snapshot!J135</f>
        <v>12.99</v>
      </c>
      <c r="G143" s="22" t="n">
        <f aca="false">Charts_Snapshot!M135</f>
        <v>16065</v>
      </c>
      <c r="H143" s="20" t="n">
        <f aca="false">Charts_Snapshot!P135</f>
        <v>1.5</v>
      </c>
      <c r="I143" s="20" t="str">
        <f aca="false">Charts_Snapshot!N135</f>
        <v>Y</v>
      </c>
      <c r="J143" s="6" t="n">
        <f aca="false">MIN(MATCH(G143,BSR_Table!$A$2:$A$14,1),12)</f>
        <v>8</v>
      </c>
      <c r="K143" s="8" t="n">
        <f aca="false">INDEX(BSR_Table!$A$2:$A$14,J143)</f>
        <v>10000</v>
      </c>
      <c r="L143" s="8" t="n">
        <f aca="false">INDEX(BSR_Table!$A$2:$A$14,J143+1)</f>
        <v>20000</v>
      </c>
      <c r="M143" s="23" t="n">
        <f aca="false">INDEX(BSR_Table!$B$2:$B$14,J143)</f>
        <v>20</v>
      </c>
      <c r="N143" s="23" t="n">
        <f aca="false">INDEX(BSR_Table!$B$2:$B$14,J143+1)</f>
        <v>10</v>
      </c>
      <c r="O143" s="10" t="n">
        <f aca="false">EXP(LN(M143)+(LN(G143)-LN(K143))*(LN(N143)-LN(M143))/(LN(L143)-LN(K143)))</f>
        <v>12.4494242141301</v>
      </c>
      <c r="P143" s="10" t="n">
        <f aca="false">O143*(1-$B$2)</f>
        <v>7.46965452847805</v>
      </c>
      <c r="Q143" s="10" t="n">
        <f aca="false">O143*(1+$B$2)</f>
        <v>17.4291938997821</v>
      </c>
      <c r="R143" s="7" t="n">
        <f aca="false">IF(AND(F143&gt;=$B$4,F143&lt;=$B$5),MAX(0.7*F143-$B$3*H143,0.35*F143),0.35*F143)</f>
        <v>8.868</v>
      </c>
      <c r="S143" s="8" t="n">
        <f aca="false">O143*$B$6</f>
        <v>373.482726423903</v>
      </c>
      <c r="T143" s="24" t="n">
        <f aca="false">S143*R143</f>
        <v>3312.04481792717</v>
      </c>
      <c r="U143" s="24" t="n">
        <f aca="false">P143*$B$6*R143</f>
        <v>1987.2268907563</v>
      </c>
      <c r="V143" s="24" t="n">
        <f aca="false">Q143*$B$6*R143</f>
        <v>4636.86274509804</v>
      </c>
      <c r="W143" s="6" t="s">
        <v>1160</v>
      </c>
    </row>
    <row r="144" customFormat="false" ht="15" hidden="false" customHeight="false" outlineLevel="0" collapsed="false">
      <c r="A144" s="20" t="str">
        <f aca="false">Charts_Snapshot!A136</f>
        <v>Time Management|15</v>
      </c>
      <c r="B144" s="20" t="str">
        <f aca="false">Charts_Snapshot!B136</f>
        <v>Time Management</v>
      </c>
      <c r="C144" s="20" t="n">
        <f aca="false">Charts_Snapshot!D136</f>
        <v>15</v>
      </c>
      <c r="D144" s="20" t="str">
        <f aca="false">Charts_Snapshot!E136</f>
        <v>How to Manage Your Home Without Losing Your Mind: Dealing with Your House's Dirty Little Secrets</v>
      </c>
      <c r="E144" s="20" t="str">
        <f aca="false">Charts_Snapshot!H136</f>
        <v>Traditional/established press</v>
      </c>
      <c r="F144" s="21" t="n">
        <f aca="false">Charts_Snapshot!J136</f>
        <v>3.99</v>
      </c>
      <c r="G144" s="22" t="n">
        <f aca="false">Charts_Snapshot!M136</f>
        <v>24718</v>
      </c>
      <c r="H144" s="20" t="n">
        <f aca="false">Charts_Snapshot!P136</f>
        <v>7.3</v>
      </c>
      <c r="I144" s="20" t="str">
        <f aca="false">Charts_Snapshot!N136</f>
        <v>Y</v>
      </c>
      <c r="J144" s="6" t="n">
        <f aca="false">MIN(MATCH(G144,BSR_Table!$A$2:$A$14,1),12)</f>
        <v>9</v>
      </c>
      <c r="K144" s="8" t="n">
        <f aca="false">INDEX(BSR_Table!$A$2:$A$14,J144)</f>
        <v>20000</v>
      </c>
      <c r="L144" s="8" t="n">
        <f aca="false">INDEX(BSR_Table!$A$2:$A$14,J144+1)</f>
        <v>50000</v>
      </c>
      <c r="M144" s="23" t="n">
        <f aca="false">INDEX(BSR_Table!$B$2:$B$14,J144)</f>
        <v>10</v>
      </c>
      <c r="N144" s="23" t="n">
        <f aca="false">INDEX(BSR_Table!$B$2:$B$14,J144+1)</f>
        <v>4</v>
      </c>
      <c r="O144" s="10" t="n">
        <f aca="false">EXP(LN(M144)+(LN(G144)-LN(K144))*(LN(N144)-LN(M144))/(LN(L144)-LN(K144)))</f>
        <v>8.09126952018772</v>
      </c>
      <c r="P144" s="10" t="n">
        <f aca="false">O144*(1-$B$2)</f>
        <v>4.85476171211263</v>
      </c>
      <c r="Q144" s="10" t="n">
        <f aca="false">O144*(1+$B$2)</f>
        <v>11.3277773282628</v>
      </c>
      <c r="R144" s="7" t="n">
        <f aca="false">IF(AND(F144&gt;=$B$4,F144&lt;=$B$5),MAX(0.7*F144-$B$3*H144,0.35*F144),0.35*F144)</f>
        <v>1.698</v>
      </c>
      <c r="S144" s="8" t="n">
        <f aca="false">O144*$B$6</f>
        <v>242.738085605632</v>
      </c>
      <c r="T144" s="24" t="n">
        <f aca="false">S144*R144</f>
        <v>412.169269358362</v>
      </c>
      <c r="U144" s="24" t="n">
        <f aca="false">P144*$B$6*R144</f>
        <v>247.301561615017</v>
      </c>
      <c r="V144" s="24" t="n">
        <f aca="false">Q144*$B$6*R144</f>
        <v>577.036977101707</v>
      </c>
      <c r="W144" s="6" t="s">
        <v>1160</v>
      </c>
    </row>
    <row r="145" customFormat="false" ht="15" hidden="false" customHeight="false" outlineLevel="0" collapsed="false">
      <c r="A145" s="20" t="str">
        <f aca="false">Charts_Snapshot!A137</f>
        <v>Time Management|16</v>
      </c>
      <c r="B145" s="20" t="str">
        <f aca="false">Charts_Snapshot!B137</f>
        <v>Time Management</v>
      </c>
      <c r="C145" s="20" t="n">
        <f aca="false">Charts_Snapshot!D137</f>
        <v>16</v>
      </c>
      <c r="D145" s="20" t="str">
        <f aca="false">Charts_Snapshot!E137</f>
        <v>Getting Things Done: The Art of Stress-Free Productivity</v>
      </c>
      <c r="E145" s="20" t="str">
        <f aca="false">Charts_Snapshot!H137</f>
        <v>Traditional/established press</v>
      </c>
      <c r="F145" s="21" t="n">
        <f aca="false">Charts_Snapshot!J137</f>
        <v>14.99</v>
      </c>
      <c r="G145" s="22" t="n">
        <f aca="false">Charts_Snapshot!M137</f>
        <v>27385</v>
      </c>
      <c r="H145" s="20" t="n">
        <f aca="false">Charts_Snapshot!P137</f>
        <v>2.7</v>
      </c>
      <c r="I145" s="20" t="str">
        <f aca="false">Charts_Snapshot!N137</f>
        <v>N</v>
      </c>
      <c r="J145" s="6" t="n">
        <f aca="false">MIN(MATCH(G145,BSR_Table!$A$2:$A$14,1),12)</f>
        <v>9</v>
      </c>
      <c r="K145" s="8" t="n">
        <f aca="false">INDEX(BSR_Table!$A$2:$A$14,J145)</f>
        <v>20000</v>
      </c>
      <c r="L145" s="8" t="n">
        <f aca="false">INDEX(BSR_Table!$A$2:$A$14,J145+1)</f>
        <v>50000</v>
      </c>
      <c r="M145" s="23" t="n">
        <f aca="false">INDEX(BSR_Table!$B$2:$B$14,J145)</f>
        <v>10</v>
      </c>
      <c r="N145" s="23" t="n">
        <f aca="false">INDEX(BSR_Table!$B$2:$B$14,J145+1)</f>
        <v>4</v>
      </c>
      <c r="O145" s="10" t="n">
        <f aca="false">EXP(LN(M145)+(LN(G145)-LN(K145))*(LN(N145)-LN(M145))/(LN(L145)-LN(K145)))</f>
        <v>7.3032682125251</v>
      </c>
      <c r="P145" s="10" t="n">
        <f aca="false">O145*(1-$B$2)</f>
        <v>4.38196092751506</v>
      </c>
      <c r="Q145" s="10" t="n">
        <f aca="false">O145*(1+$B$2)</f>
        <v>10.2245754975351</v>
      </c>
      <c r="R145" s="7" t="n">
        <f aca="false">IF(AND(F145&gt;=$B$4,F145&lt;=$B$5),MAX(0.7*F145-$B$3*H145,0.35*F145),0.35*F145)</f>
        <v>5.2465</v>
      </c>
      <c r="S145" s="8" t="n">
        <f aca="false">O145*$B$6</f>
        <v>219.098046375753</v>
      </c>
      <c r="T145" s="24" t="n">
        <f aca="false">S145*R145</f>
        <v>1149.49790031039</v>
      </c>
      <c r="U145" s="24" t="n">
        <f aca="false">P145*$B$6*R145</f>
        <v>689.698740186233</v>
      </c>
      <c r="V145" s="24" t="n">
        <f aca="false">Q145*$B$6*R145</f>
        <v>1609.29706043454</v>
      </c>
      <c r="W145" s="6" t="s">
        <v>1160</v>
      </c>
    </row>
    <row r="146" customFormat="false" ht="15" hidden="false" customHeight="false" outlineLevel="0" collapsed="false">
      <c r="A146" s="20" t="str">
        <f aca="false">Charts_Snapshot!A138</f>
        <v>Time Management|17</v>
      </c>
      <c r="B146" s="20" t="str">
        <f aca="false">Charts_Snapshot!B138</f>
        <v>Time Management</v>
      </c>
      <c r="C146" s="20" t="n">
        <f aca="false">Charts_Snapshot!D138</f>
        <v>17</v>
      </c>
      <c r="D146" s="20" t="str">
        <f aca="false">Charts_Snapshot!E138</f>
        <v>The 5AM Club: Own Your Morning. Elevate Your Life.</v>
      </c>
      <c r="E146" s="20" t="str">
        <f aca="false">Charts_Snapshot!H138</f>
        <v>Traditional/established press</v>
      </c>
      <c r="F146" s="21" t="n">
        <f aca="false">Charts_Snapshot!J138</f>
        <v>11.99</v>
      </c>
      <c r="G146" s="22" t="n">
        <f aca="false">Charts_Snapshot!M138</f>
        <v>27298</v>
      </c>
      <c r="H146" s="20" t="n">
        <f aca="false">Charts_Snapshot!P138</f>
        <v>4.7</v>
      </c>
      <c r="I146" s="20" t="str">
        <f aca="false">Charts_Snapshot!N138</f>
        <v>N</v>
      </c>
      <c r="J146" s="6" t="n">
        <f aca="false">MIN(MATCH(G146,BSR_Table!$A$2:$A$14,1),12)</f>
        <v>9</v>
      </c>
      <c r="K146" s="8" t="n">
        <f aca="false">INDEX(BSR_Table!$A$2:$A$14,J146)</f>
        <v>20000</v>
      </c>
      <c r="L146" s="8" t="n">
        <f aca="false">INDEX(BSR_Table!$A$2:$A$14,J146+1)</f>
        <v>50000</v>
      </c>
      <c r="M146" s="23" t="n">
        <f aca="false">INDEX(BSR_Table!$B$2:$B$14,J146)</f>
        <v>10</v>
      </c>
      <c r="N146" s="23" t="n">
        <f aca="false">INDEX(BSR_Table!$B$2:$B$14,J146+1)</f>
        <v>4</v>
      </c>
      <c r="O146" s="10" t="n">
        <f aca="false">EXP(LN(M146)+(LN(G146)-LN(K146))*(LN(N146)-LN(M146))/(LN(L146)-LN(K146)))</f>
        <v>7.32654406916257</v>
      </c>
      <c r="P146" s="10" t="n">
        <f aca="false">O146*(1-$B$2)</f>
        <v>4.39592644149754</v>
      </c>
      <c r="Q146" s="10" t="n">
        <f aca="false">O146*(1+$B$2)</f>
        <v>10.2571616968276</v>
      </c>
      <c r="R146" s="7" t="n">
        <f aca="false">IF(AND(F146&gt;=$B$4,F146&lt;=$B$5),MAX(0.7*F146-$B$3*H146,0.35*F146),0.35*F146)</f>
        <v>7.688</v>
      </c>
      <c r="S146" s="8" t="n">
        <f aca="false">O146*$B$6</f>
        <v>219.796322074877</v>
      </c>
      <c r="T146" s="24" t="n">
        <f aca="false">S146*R146</f>
        <v>1689.79412411166</v>
      </c>
      <c r="U146" s="24" t="n">
        <f aca="false">P146*$B$6*R146</f>
        <v>1013.87647446699</v>
      </c>
      <c r="V146" s="24" t="n">
        <f aca="false">Q146*$B$6*R146</f>
        <v>2365.71177375632</v>
      </c>
      <c r="W146" s="6" t="s">
        <v>1160</v>
      </c>
    </row>
    <row r="147" customFormat="false" ht="15" hidden="false" customHeight="false" outlineLevel="0" collapsed="false">
      <c r="A147" s="20" t="str">
        <f aca="false">Charts_Snapshot!A139</f>
        <v>Time Management|18</v>
      </c>
      <c r="B147" s="20" t="str">
        <f aca="false">Charts_Snapshot!B139</f>
        <v>Time Management</v>
      </c>
      <c r="C147" s="20" t="n">
        <f aca="false">Charts_Snapshot!D139</f>
        <v>18</v>
      </c>
      <c r="D147" s="20" t="str">
        <f aca="false">Charts_Snapshot!E139</f>
        <v>The 7 Habits of Highly Effective People: Guided Journal, Infographics eBook: Inspired by the Wisdom of Stephen R. Covey</v>
      </c>
      <c r="E147" s="20" t="str">
        <f aca="false">Charts_Snapshot!H139</f>
        <v>Traditional/established press</v>
      </c>
      <c r="F147" s="21" t="n">
        <f aca="false">Charts_Snapshot!J139</f>
        <v>2.99</v>
      </c>
      <c r="G147" s="22" t="n">
        <f aca="false">Charts_Snapshot!M139</f>
        <v>31306</v>
      </c>
      <c r="H147" s="20" t="n">
        <f aca="false">Charts_Snapshot!P139</f>
        <v>14.1</v>
      </c>
      <c r="I147" s="20" t="str">
        <f aca="false">Charts_Snapshot!N139</f>
        <v>Y</v>
      </c>
      <c r="J147" s="6" t="n">
        <f aca="false">MIN(MATCH(G147,BSR_Table!$A$2:$A$14,1),12)</f>
        <v>9</v>
      </c>
      <c r="K147" s="8" t="n">
        <f aca="false">INDEX(BSR_Table!$A$2:$A$14,J147)</f>
        <v>20000</v>
      </c>
      <c r="L147" s="8" t="n">
        <f aca="false">INDEX(BSR_Table!$A$2:$A$14,J147+1)</f>
        <v>50000</v>
      </c>
      <c r="M147" s="23" t="n">
        <f aca="false">INDEX(BSR_Table!$B$2:$B$14,J147)</f>
        <v>10</v>
      </c>
      <c r="N147" s="23" t="n">
        <f aca="false">INDEX(BSR_Table!$B$2:$B$14,J147+1)</f>
        <v>4</v>
      </c>
      <c r="O147" s="10" t="n">
        <f aca="false">EXP(LN(M147)+(LN(G147)-LN(K147))*(LN(N147)-LN(M147))/(LN(L147)-LN(K147)))</f>
        <v>6.38855171532614</v>
      </c>
      <c r="P147" s="10" t="n">
        <f aca="false">O147*(1-$B$2)</f>
        <v>3.83313102919568</v>
      </c>
      <c r="Q147" s="10" t="n">
        <f aca="false">O147*(1+$B$2)</f>
        <v>8.9439724014566</v>
      </c>
      <c r="R147" s="7" t="n">
        <f aca="false">IF(AND(F147&gt;=$B$4,F147&lt;=$B$5),MAX(0.7*F147-$B$3*H147,0.35*F147),0.35*F147)</f>
        <v>1.0465</v>
      </c>
      <c r="S147" s="8" t="n">
        <f aca="false">O147*$B$6</f>
        <v>191.656551459784</v>
      </c>
      <c r="T147" s="24" t="n">
        <f aca="false">S147*R147</f>
        <v>200.568581102664</v>
      </c>
      <c r="U147" s="24" t="n">
        <f aca="false">P147*$B$6*R147</f>
        <v>120.341148661598</v>
      </c>
      <c r="V147" s="24" t="n">
        <f aca="false">Q147*$B$6*R147</f>
        <v>280.79601354373</v>
      </c>
      <c r="W147" s="6" t="s">
        <v>1160</v>
      </c>
    </row>
    <row r="148" customFormat="false" ht="15" hidden="false" customHeight="false" outlineLevel="0" collapsed="false">
      <c r="A148" s="20" t="str">
        <f aca="false">Charts_Snapshot!A140</f>
        <v>Time Management|19</v>
      </c>
      <c r="B148" s="20" t="str">
        <f aca="false">Charts_Snapshot!B140</f>
        <v>Time Management</v>
      </c>
      <c r="C148" s="20" t="n">
        <f aca="false">Charts_Snapshot!D140</f>
        <v>19</v>
      </c>
      <c r="D148" s="20" t="str">
        <f aca="false">Charts_Snapshot!E140</f>
        <v>The Complete CBT Workbook for Adults with ADHD: Exercises to Reduce Stress and Anxiety, Manage Depression, and Build Self-Confidence in Just 15 Minutes a Day</v>
      </c>
      <c r="E148" s="20" t="str">
        <f aca="false">Charts_Snapshot!H140</f>
        <v>Indie (no publisher listed)</v>
      </c>
      <c r="F148" s="21" t="n">
        <f aca="false">Charts_Snapshot!J140</f>
        <v>9.99</v>
      </c>
      <c r="G148" s="22" t="n">
        <f aca="false">Charts_Snapshot!M140</f>
        <v>37301</v>
      </c>
      <c r="H148" s="20" t="n">
        <f aca="false">Charts_Snapshot!P140</f>
        <v>2.3</v>
      </c>
      <c r="I148" s="20" t="str">
        <f aca="false">Charts_Snapshot!N140</f>
        <v>Y</v>
      </c>
      <c r="J148" s="6" t="n">
        <f aca="false">MIN(MATCH(G148,BSR_Table!$A$2:$A$14,1),12)</f>
        <v>9</v>
      </c>
      <c r="K148" s="8" t="n">
        <f aca="false">INDEX(BSR_Table!$A$2:$A$14,J148)</f>
        <v>20000</v>
      </c>
      <c r="L148" s="8" t="n">
        <f aca="false">INDEX(BSR_Table!$A$2:$A$14,J148+1)</f>
        <v>50000</v>
      </c>
      <c r="M148" s="23" t="n">
        <f aca="false">INDEX(BSR_Table!$B$2:$B$14,J148)</f>
        <v>10</v>
      </c>
      <c r="N148" s="23" t="n">
        <f aca="false">INDEX(BSR_Table!$B$2:$B$14,J148+1)</f>
        <v>4</v>
      </c>
      <c r="O148" s="10" t="n">
        <f aca="false">EXP(LN(M148)+(LN(G148)-LN(K148))*(LN(N148)-LN(M148))/(LN(L148)-LN(K148)))</f>
        <v>5.36178654727755</v>
      </c>
      <c r="P148" s="10" t="n">
        <f aca="false">O148*(1-$B$2)</f>
        <v>3.21707192836653</v>
      </c>
      <c r="Q148" s="10" t="n">
        <f aca="false">O148*(1+$B$2)</f>
        <v>7.50650116618858</v>
      </c>
      <c r="R148" s="7" t="n">
        <f aca="false">IF(AND(F148&gt;=$B$4,F148&lt;=$B$5),MAX(0.7*F148-$B$3*H148,0.35*F148),0.35*F148)</f>
        <v>6.648</v>
      </c>
      <c r="S148" s="8" t="n">
        <f aca="false">O148*$B$6</f>
        <v>160.853596418327</v>
      </c>
      <c r="T148" s="24" t="n">
        <f aca="false">S148*R148</f>
        <v>1069.35470898904</v>
      </c>
      <c r="U148" s="24" t="n">
        <f aca="false">P148*$B$6*R148</f>
        <v>641.612825393421</v>
      </c>
      <c r="V148" s="24" t="n">
        <f aca="false">Q148*$B$6*R148</f>
        <v>1497.09659258465</v>
      </c>
      <c r="W148" s="6" t="s">
        <v>1160</v>
      </c>
    </row>
    <row r="149" customFormat="false" ht="15" hidden="false" customHeight="false" outlineLevel="0" collapsed="false">
      <c r="A149" s="20" t="str">
        <f aca="false">Charts_Snapshot!A141</f>
        <v>Time Management|20</v>
      </c>
      <c r="B149" s="20" t="str">
        <f aca="false">Charts_Snapshot!B141</f>
        <v>Time Management</v>
      </c>
      <c r="C149" s="20" t="n">
        <f aca="false">Charts_Snapshot!D141</f>
        <v>20</v>
      </c>
      <c r="D149" s="20" t="str">
        <f aca="false">Charts_Snapshot!E141</f>
        <v>365 Executive Functioning Hacks for Adult ADHD: Simple Strategies to Supercharge Productivity, Improve Time Management and Boost Focus, Making Life Less ... Time (The ADHD Success Toolkit for Adults)</v>
      </c>
      <c r="E149" s="20" t="str">
        <f aca="false">Charts_Snapshot!H141</f>
        <v>Indie imprint (inferred)</v>
      </c>
      <c r="F149" s="21" t="n">
        <f aca="false">Charts_Snapshot!J141</f>
        <v>9.99</v>
      </c>
      <c r="G149" s="22" t="n">
        <f aca="false">Charts_Snapshot!M141</f>
        <v>38918</v>
      </c>
      <c r="H149" s="20" t="n">
        <f aca="false">Charts_Snapshot!P141</f>
        <v>19.2</v>
      </c>
      <c r="I149" s="20" t="str">
        <f aca="false">Charts_Snapshot!N141</f>
        <v>Y</v>
      </c>
      <c r="J149" s="6" t="n">
        <f aca="false">MIN(MATCH(G149,BSR_Table!$A$2:$A$14,1),12)</f>
        <v>9</v>
      </c>
      <c r="K149" s="8" t="n">
        <f aca="false">INDEX(BSR_Table!$A$2:$A$14,J149)</f>
        <v>20000</v>
      </c>
      <c r="L149" s="8" t="n">
        <f aca="false">INDEX(BSR_Table!$A$2:$A$14,J149+1)</f>
        <v>50000</v>
      </c>
      <c r="M149" s="23" t="n">
        <f aca="false">INDEX(BSR_Table!$B$2:$B$14,J149)</f>
        <v>10</v>
      </c>
      <c r="N149" s="23" t="n">
        <f aca="false">INDEX(BSR_Table!$B$2:$B$14,J149+1)</f>
        <v>4</v>
      </c>
      <c r="O149" s="10" t="n">
        <f aca="false">EXP(LN(M149)+(LN(G149)-LN(K149))*(LN(N149)-LN(M149))/(LN(L149)-LN(K149)))</f>
        <v>5.13901022663035</v>
      </c>
      <c r="P149" s="10" t="n">
        <f aca="false">O149*(1-$B$2)</f>
        <v>3.08340613597821</v>
      </c>
      <c r="Q149" s="10" t="n">
        <f aca="false">O149*(1+$B$2)</f>
        <v>7.19461431728249</v>
      </c>
      <c r="R149" s="7" t="n">
        <f aca="false">IF(AND(F149&gt;=$B$4,F149&lt;=$B$5),MAX(0.7*F149-$B$3*H149,0.35*F149),0.35*F149)</f>
        <v>4.113</v>
      </c>
      <c r="S149" s="8" t="n">
        <f aca="false">O149*$B$6</f>
        <v>154.170306798911</v>
      </c>
      <c r="T149" s="24" t="n">
        <f aca="false">S149*R149</f>
        <v>634.102471863919</v>
      </c>
      <c r="U149" s="24" t="n">
        <f aca="false">P149*$B$6*R149</f>
        <v>380.461483118351</v>
      </c>
      <c r="V149" s="24" t="n">
        <f aca="false">Q149*$B$6*R149</f>
        <v>887.743460609486</v>
      </c>
      <c r="W149" s="6" t="s">
        <v>1160</v>
      </c>
    </row>
    <row r="150" customFormat="false" ht="15" hidden="false" customHeight="false" outlineLevel="0" collapsed="false">
      <c r="A150" s="20" t="str">
        <f aca="false">Charts_Snapshot!A142</f>
        <v>Nutrition|1</v>
      </c>
      <c r="B150" s="20" t="str">
        <f aca="false">Charts_Snapshot!B142</f>
        <v>Nutrition</v>
      </c>
      <c r="C150" s="20" t="n">
        <f aca="false">Charts_Snapshot!D142</f>
        <v>1</v>
      </c>
      <c r="D150" s="20" t="str">
        <f aca="false">Charts_Snapshot!E142</f>
        <v>The Hunger Code: Resetting Your Body's Fat Thermostat in the Age of Ultra-Processed Food (Dr. Jason Fung Code Book 6)</v>
      </c>
      <c r="E150" s="20" t="str">
        <f aca="false">Charts_Snapshot!H142</f>
        <v>Traditional/established press</v>
      </c>
      <c r="F150" s="21" t="n">
        <f aca="false">Charts_Snapshot!J142</f>
        <v>3.99</v>
      </c>
      <c r="G150" s="22" t="n">
        <f aca="false">Charts_Snapshot!M142</f>
        <v>1984</v>
      </c>
      <c r="H150" s="20" t="n">
        <f aca="false">Charts_Snapshot!P142</f>
        <v>8.6</v>
      </c>
      <c r="I150" s="20" t="str">
        <f aca="false">Charts_Snapshot!N142</f>
        <v>N</v>
      </c>
      <c r="J150" s="6" t="n">
        <f aca="false">MIN(MATCH(G150,BSR_Table!$A$2:$A$14,1),12)</f>
        <v>5</v>
      </c>
      <c r="K150" s="8" t="n">
        <f aca="false">INDEX(BSR_Table!$A$2:$A$14,J150)</f>
        <v>1000</v>
      </c>
      <c r="L150" s="8" t="n">
        <f aca="false">INDEX(BSR_Table!$A$2:$A$14,J150+1)</f>
        <v>2000</v>
      </c>
      <c r="M150" s="23" t="n">
        <f aca="false">INDEX(BSR_Table!$B$2:$B$14,J150)</f>
        <v>120</v>
      </c>
      <c r="N150" s="23" t="n">
        <f aca="false">INDEX(BSR_Table!$B$2:$B$14,J150+1)</f>
        <v>65</v>
      </c>
      <c r="O150" s="10" t="n">
        <f aca="false">EXP(LN(M150)+(LN(G150)-LN(K150))*(LN(N150)-LN(M150))/(LN(L150)-LN(K150)))</f>
        <v>65.4634458843061</v>
      </c>
      <c r="P150" s="10" t="n">
        <f aca="false">O150*(1-$B$2)</f>
        <v>39.2780675305836</v>
      </c>
      <c r="Q150" s="10" t="n">
        <f aca="false">O150*(1+$B$2)</f>
        <v>91.6488242380285</v>
      </c>
      <c r="R150" s="7" t="n">
        <f aca="false">IF(AND(F150&gt;=$B$4,F150&lt;=$B$5),MAX(0.7*F150-$B$3*H150,0.35*F150),0.35*F150)</f>
        <v>1.503</v>
      </c>
      <c r="S150" s="8" t="n">
        <f aca="false">O150*$B$6</f>
        <v>1963.90337652918</v>
      </c>
      <c r="T150" s="24" t="n">
        <f aca="false">S150*R150</f>
        <v>2951.74677492336</v>
      </c>
      <c r="U150" s="24" t="n">
        <f aca="false">P150*$B$6*R150</f>
        <v>1771.04806495402</v>
      </c>
      <c r="V150" s="24" t="n">
        <f aca="false">Q150*$B$6*R150</f>
        <v>4132.4454848927</v>
      </c>
      <c r="W150" s="6" t="s">
        <v>1160</v>
      </c>
    </row>
    <row r="151" customFormat="false" ht="15" hidden="false" customHeight="false" outlineLevel="0" collapsed="false">
      <c r="A151" s="20" t="str">
        <f aca="false">Charts_Snapshot!A143</f>
        <v>Nutrition|2</v>
      </c>
      <c r="B151" s="20" t="str">
        <f aca="false">Charts_Snapshot!B143</f>
        <v>Nutrition</v>
      </c>
      <c r="C151" s="20" t="n">
        <f aca="false">Charts_Snapshot!D143</f>
        <v>2</v>
      </c>
      <c r="D151" s="20" t="str">
        <f aca="false">Charts_Snapshot!E143</f>
        <v>Fast Like a Girl: A Woman's Guide to Using the Healing Power of Fasting to Burn Fat, Boost Energy,and Balance Hormones</v>
      </c>
      <c r="E151" s="20" t="str">
        <f aca="false">Charts_Snapshot!H143</f>
        <v>Traditional/established press</v>
      </c>
      <c r="F151" s="21" t="n">
        <f aca="false">Charts_Snapshot!J143</f>
        <v>2.99</v>
      </c>
      <c r="G151" s="22" t="n">
        <f aca="false">Charts_Snapshot!M143</f>
        <v>5165</v>
      </c>
      <c r="H151" s="20" t="n">
        <f aca="false">Charts_Snapshot!P143</f>
        <v>3.9</v>
      </c>
      <c r="I151" s="20" t="str">
        <f aca="false">Charts_Snapshot!N143</f>
        <v>N</v>
      </c>
      <c r="J151" s="6" t="n">
        <f aca="false">MIN(MATCH(G151,BSR_Table!$A$2:$A$14,1),12)</f>
        <v>7</v>
      </c>
      <c r="K151" s="8" t="n">
        <f aca="false">INDEX(BSR_Table!$A$2:$A$14,J151)</f>
        <v>5000</v>
      </c>
      <c r="L151" s="8" t="n">
        <f aca="false">INDEX(BSR_Table!$A$2:$A$14,J151+1)</f>
        <v>10000</v>
      </c>
      <c r="M151" s="23" t="n">
        <f aca="false">INDEX(BSR_Table!$B$2:$B$14,J151)</f>
        <v>30</v>
      </c>
      <c r="N151" s="23" t="n">
        <f aca="false">INDEX(BSR_Table!$B$2:$B$14,J151+1)</f>
        <v>20</v>
      </c>
      <c r="O151" s="10" t="n">
        <f aca="false">EXP(LN(M151)+(LN(G151)-LN(K151))*(LN(N151)-LN(M151))/(LN(L151)-LN(K151)))</f>
        <v>29.4356137393267</v>
      </c>
      <c r="P151" s="10" t="n">
        <f aca="false">O151*(1-$B$2)</f>
        <v>17.661368243596</v>
      </c>
      <c r="Q151" s="10" t="n">
        <f aca="false">O151*(1+$B$2)</f>
        <v>41.2098592350573</v>
      </c>
      <c r="R151" s="7" t="n">
        <f aca="false">IF(AND(F151&gt;=$B$4,F151&lt;=$B$5),MAX(0.7*F151-$B$3*H151,0.35*F151),0.35*F151)</f>
        <v>1.508</v>
      </c>
      <c r="S151" s="8" t="n">
        <f aca="false">O151*$B$6</f>
        <v>883.0684121798</v>
      </c>
      <c r="T151" s="24" t="n">
        <f aca="false">S151*R151</f>
        <v>1331.66716556714</v>
      </c>
      <c r="U151" s="24" t="n">
        <f aca="false">P151*$B$6*R151</f>
        <v>799.000299340283</v>
      </c>
      <c r="V151" s="24" t="n">
        <f aca="false">Q151*$B$6*R151</f>
        <v>1864.33403179399</v>
      </c>
      <c r="W151" s="6" t="s">
        <v>1160</v>
      </c>
    </row>
    <row r="152" customFormat="false" ht="15" hidden="false" customHeight="false" outlineLevel="0" collapsed="false">
      <c r="A152" s="20" t="str">
        <f aca="false">Charts_Snapshot!A144</f>
        <v>Nutrition|3</v>
      </c>
      <c r="B152" s="20" t="str">
        <f aca="false">Charts_Snapshot!B144</f>
        <v>Nutrition</v>
      </c>
      <c r="C152" s="20" t="n">
        <f aca="false">Charts_Snapshot!D144</f>
        <v>3</v>
      </c>
      <c r="D152" s="20" t="str">
        <f aca="false">Charts_Snapshot!E144</f>
        <v>Butter in My Coffee: How a Dinner with an Old Friend Changed Everything This Chemist Knew About Food</v>
      </c>
      <c r="E152" s="20" t="str">
        <f aca="false">Charts_Snapshot!H144</f>
        <v>Indie imprint (inferred)</v>
      </c>
      <c r="F152" s="21" t="n">
        <f aca="false">Charts_Snapshot!J144</f>
        <v>9.99</v>
      </c>
      <c r="G152" s="22" t="n">
        <f aca="false">Charts_Snapshot!M144</f>
        <v>5470</v>
      </c>
      <c r="H152" s="20" t="n">
        <f aca="false">Charts_Snapshot!P144</f>
        <v>0.42</v>
      </c>
      <c r="I152" s="20" t="str">
        <f aca="false">Charts_Snapshot!N144</f>
        <v>Y</v>
      </c>
      <c r="J152" s="6" t="n">
        <f aca="false">MIN(MATCH(G152,BSR_Table!$A$2:$A$14,1),12)</f>
        <v>7</v>
      </c>
      <c r="K152" s="8" t="n">
        <f aca="false">INDEX(BSR_Table!$A$2:$A$14,J152)</f>
        <v>5000</v>
      </c>
      <c r="L152" s="8" t="n">
        <f aca="false">INDEX(BSR_Table!$A$2:$A$14,J152+1)</f>
        <v>10000</v>
      </c>
      <c r="M152" s="23" t="n">
        <f aca="false">INDEX(BSR_Table!$B$2:$B$14,J152)</f>
        <v>30</v>
      </c>
      <c r="N152" s="23" t="n">
        <f aca="false">INDEX(BSR_Table!$B$2:$B$14,J152+1)</f>
        <v>20</v>
      </c>
      <c r="O152" s="10" t="n">
        <f aca="false">EXP(LN(M152)+(LN(G152)-LN(K152))*(LN(N152)-LN(M152))/(LN(L152)-LN(K152)))</f>
        <v>28.4641083871451</v>
      </c>
      <c r="P152" s="10" t="n">
        <f aca="false">O152*(1-$B$2)</f>
        <v>17.0784650322871</v>
      </c>
      <c r="Q152" s="10" t="n">
        <f aca="false">O152*(1+$B$2)</f>
        <v>39.8497517420031</v>
      </c>
      <c r="R152" s="7" t="n">
        <f aca="false">IF(AND(F152&gt;=$B$4,F152&lt;=$B$5),MAX(0.7*F152-$B$3*H152,0.35*F152),0.35*F152)</f>
        <v>6.93</v>
      </c>
      <c r="S152" s="8" t="n">
        <f aca="false">O152*$B$6</f>
        <v>853.923251614353</v>
      </c>
      <c r="T152" s="24" t="n">
        <f aca="false">S152*R152</f>
        <v>5917.68813368746</v>
      </c>
      <c r="U152" s="24" t="n">
        <f aca="false">P152*$B$6*R152</f>
        <v>3550.61288021248</v>
      </c>
      <c r="V152" s="24" t="n">
        <f aca="false">Q152*$B$6*R152</f>
        <v>8284.76338716245</v>
      </c>
      <c r="W152" s="6" t="s">
        <v>1160</v>
      </c>
    </row>
    <row r="153" customFormat="false" ht="15" hidden="false" customHeight="false" outlineLevel="0" collapsed="false">
      <c r="A153" s="20" t="str">
        <f aca="false">Charts_Snapshot!A145</f>
        <v>Nutrition|4</v>
      </c>
      <c r="B153" s="20" t="str">
        <f aca="false">Charts_Snapshot!B145</f>
        <v>Nutrition</v>
      </c>
      <c r="C153" s="20" t="n">
        <f aca="false">Charts_Snapshot!D145</f>
        <v>4</v>
      </c>
      <c r="D153" s="20" t="str">
        <f aca="false">Charts_Snapshot!E145</f>
        <v>The Tyranny of Thinness: Understanding and Resisting the Pressure to Be Skinny</v>
      </c>
      <c r="E153" s="20" t="str">
        <f aca="false">Charts_Snapshot!H145</f>
        <v>Traditional/established press</v>
      </c>
      <c r="F153" s="21" t="n">
        <f aca="false">Charts_Snapshot!J145</f>
        <v>1.99</v>
      </c>
      <c r="G153" s="22" t="n">
        <f aca="false">Charts_Snapshot!M145</f>
        <v>7597</v>
      </c>
      <c r="H153" s="20" t="n">
        <f aca="false">Charts_Snapshot!P145</f>
        <v>1.3</v>
      </c>
      <c r="I153" s="20" t="str">
        <f aca="false">Charts_Snapshot!N145</f>
        <v>N</v>
      </c>
      <c r="J153" s="6" t="n">
        <f aca="false">MIN(MATCH(G153,BSR_Table!$A$2:$A$14,1),12)</f>
        <v>7</v>
      </c>
      <c r="K153" s="8" t="n">
        <f aca="false">INDEX(BSR_Table!$A$2:$A$14,J153)</f>
        <v>5000</v>
      </c>
      <c r="L153" s="8" t="n">
        <f aca="false">INDEX(BSR_Table!$A$2:$A$14,J153+1)</f>
        <v>10000</v>
      </c>
      <c r="M153" s="23" t="n">
        <f aca="false">INDEX(BSR_Table!$B$2:$B$14,J153)</f>
        <v>30</v>
      </c>
      <c r="N153" s="23" t="n">
        <f aca="false">INDEX(BSR_Table!$B$2:$B$14,J153+1)</f>
        <v>20</v>
      </c>
      <c r="O153" s="10" t="n">
        <f aca="false">EXP(LN(M153)+(LN(G153)-LN(K153))*(LN(N153)-LN(M153))/(LN(L153)-LN(K153)))</f>
        <v>23.4882075528521</v>
      </c>
      <c r="P153" s="10" t="n">
        <f aca="false">O153*(1-$B$2)</f>
        <v>14.0929245317113</v>
      </c>
      <c r="Q153" s="10" t="n">
        <f aca="false">O153*(1+$B$2)</f>
        <v>32.8834905739929</v>
      </c>
      <c r="R153" s="7" t="n">
        <f aca="false">IF(AND(F153&gt;=$B$4,F153&lt;=$B$5),MAX(0.7*F153-$B$3*H153,0.35*F153),0.35*F153)</f>
        <v>0.6965</v>
      </c>
      <c r="S153" s="8" t="n">
        <f aca="false">O153*$B$6</f>
        <v>704.646226585563</v>
      </c>
      <c r="T153" s="24" t="n">
        <f aca="false">S153*R153</f>
        <v>490.786096816845</v>
      </c>
      <c r="U153" s="24" t="n">
        <f aca="false">P153*$B$6*R153</f>
        <v>294.471658090107</v>
      </c>
      <c r="V153" s="24" t="n">
        <f aca="false">Q153*$B$6*R153</f>
        <v>687.100535543583</v>
      </c>
      <c r="W153" s="6" t="s">
        <v>1160</v>
      </c>
    </row>
    <row r="154" customFormat="false" ht="15" hidden="false" customHeight="false" outlineLevel="0" collapsed="false">
      <c r="A154" s="20" t="str">
        <f aca="false">Charts_Snapshot!A146</f>
        <v>Nutrition|5</v>
      </c>
      <c r="B154" s="20" t="str">
        <f aca="false">Charts_Snapshot!B146</f>
        <v>Nutrition</v>
      </c>
      <c r="C154" s="20" t="n">
        <f aca="false">Charts_Snapshot!D146</f>
        <v>5</v>
      </c>
      <c r="D154" s="20" t="str">
        <f aca="false">Charts_Snapshot!E146</f>
        <v>Heal Your Cells: Reversing the Irreversible--A Proven Plan to Heal Faster, Reclaim Energy, and Unlock Longevity</v>
      </c>
      <c r="E154" s="20" t="str">
        <f aca="false">Charts_Snapshot!H146</f>
        <v>Traditional/established press</v>
      </c>
      <c r="F154" s="21" t="n">
        <f aca="false">Charts_Snapshot!J146</f>
        <v>16.99</v>
      </c>
      <c r="G154" s="22" t="n">
        <f aca="false">Charts_Snapshot!M146</f>
        <v>8226</v>
      </c>
      <c r="H154" s="20" t="n">
        <f aca="false">Charts_Snapshot!P146</f>
        <v>6.3</v>
      </c>
      <c r="I154" s="20" t="str">
        <f aca="false">Charts_Snapshot!N146</f>
        <v>N</v>
      </c>
      <c r="J154" s="6" t="n">
        <f aca="false">MIN(MATCH(G154,BSR_Table!$A$2:$A$14,1),12)</f>
        <v>7</v>
      </c>
      <c r="K154" s="8" t="n">
        <f aca="false">INDEX(BSR_Table!$A$2:$A$14,J154)</f>
        <v>5000</v>
      </c>
      <c r="L154" s="8" t="n">
        <f aca="false">INDEX(BSR_Table!$A$2:$A$14,J154+1)</f>
        <v>10000</v>
      </c>
      <c r="M154" s="23" t="n">
        <f aca="false">INDEX(BSR_Table!$B$2:$B$14,J154)</f>
        <v>30</v>
      </c>
      <c r="N154" s="23" t="n">
        <f aca="false">INDEX(BSR_Table!$B$2:$B$14,J154+1)</f>
        <v>20</v>
      </c>
      <c r="O154" s="10" t="n">
        <f aca="false">EXP(LN(M154)+(LN(G154)-LN(K154))*(LN(N154)-LN(M154))/(LN(L154)-LN(K154)))</f>
        <v>22.4203001703553</v>
      </c>
      <c r="P154" s="10" t="n">
        <f aca="false">O154*(1-$B$2)</f>
        <v>13.4521801022132</v>
      </c>
      <c r="Q154" s="10" t="n">
        <f aca="false">O154*(1+$B$2)</f>
        <v>31.3884202384974</v>
      </c>
      <c r="R154" s="7" t="n">
        <f aca="false">IF(AND(F154&gt;=$B$4,F154&lt;=$B$5),MAX(0.7*F154-$B$3*H154,0.35*F154),0.35*F154)</f>
        <v>5.9465</v>
      </c>
      <c r="S154" s="8" t="n">
        <f aca="false">O154*$B$6</f>
        <v>672.60900511066</v>
      </c>
      <c r="T154" s="24" t="n">
        <f aca="false">S154*R154</f>
        <v>3999.66944889054</v>
      </c>
      <c r="U154" s="24" t="n">
        <f aca="false">P154*$B$6*R154</f>
        <v>2399.80166933432</v>
      </c>
      <c r="V154" s="24" t="n">
        <f aca="false">Q154*$B$6*R154</f>
        <v>5599.53722844675</v>
      </c>
      <c r="W154" s="6" t="s">
        <v>1160</v>
      </c>
    </row>
    <row r="155" customFormat="false" ht="15" hidden="false" customHeight="false" outlineLevel="0" collapsed="false">
      <c r="A155" s="20" t="str">
        <f aca="false">Charts_Snapshot!A147</f>
        <v>Nutrition|6</v>
      </c>
      <c r="B155" s="20" t="str">
        <f aca="false">Charts_Snapshot!B147</f>
        <v>Nutrition</v>
      </c>
      <c r="C155" s="20" t="n">
        <f aca="false">Charts_Snapshot!D147</f>
        <v>6</v>
      </c>
      <c r="D155" s="20" t="str">
        <f aca="false">Charts_Snapshot!E147</f>
        <v>The Anti-Inflammatory Diet &amp; Action Plans: 4-Week Meal Plans to Heal the Immune System and Restore Overall Health</v>
      </c>
      <c r="E155" s="20" t="str">
        <f aca="false">Charts_Snapshot!H147</f>
        <v>Traditional/established press</v>
      </c>
      <c r="F155" s="21" t="n">
        <f aca="false">Charts_Snapshot!J147</f>
        <v>1.99</v>
      </c>
      <c r="G155" s="22" t="n">
        <f aca="false">Charts_Snapshot!M147</f>
        <v>8419</v>
      </c>
      <c r="H155" s="20" t="n">
        <f aca="false">Charts_Snapshot!P147</f>
        <v>25.5</v>
      </c>
      <c r="I155" s="20" t="str">
        <f aca="false">Charts_Snapshot!N147</f>
        <v>Y</v>
      </c>
      <c r="J155" s="6" t="n">
        <f aca="false">MIN(MATCH(G155,BSR_Table!$A$2:$A$14,1),12)</f>
        <v>7</v>
      </c>
      <c r="K155" s="8" t="n">
        <f aca="false">INDEX(BSR_Table!$A$2:$A$14,J155)</f>
        <v>5000</v>
      </c>
      <c r="L155" s="8" t="n">
        <f aca="false">INDEX(BSR_Table!$A$2:$A$14,J155+1)</f>
        <v>10000</v>
      </c>
      <c r="M155" s="23" t="n">
        <f aca="false">INDEX(BSR_Table!$B$2:$B$14,J155)</f>
        <v>30</v>
      </c>
      <c r="N155" s="23" t="n">
        <f aca="false">INDEX(BSR_Table!$B$2:$B$14,J155+1)</f>
        <v>20</v>
      </c>
      <c r="O155" s="10" t="n">
        <f aca="false">EXP(LN(M155)+(LN(G155)-LN(K155))*(LN(N155)-LN(M155))/(LN(L155)-LN(K155)))</f>
        <v>22.1182007202587</v>
      </c>
      <c r="P155" s="10" t="n">
        <f aca="false">O155*(1-$B$2)</f>
        <v>13.2709204321552</v>
      </c>
      <c r="Q155" s="10" t="n">
        <f aca="false">O155*(1+$B$2)</f>
        <v>30.9654810083622</v>
      </c>
      <c r="R155" s="7" t="n">
        <f aca="false">IF(AND(F155&gt;=$B$4,F155&lt;=$B$5),MAX(0.7*F155-$B$3*H155,0.35*F155),0.35*F155)</f>
        <v>0.6965</v>
      </c>
      <c r="S155" s="8" t="n">
        <f aca="false">O155*$B$6</f>
        <v>663.546021607761</v>
      </c>
      <c r="T155" s="24" t="n">
        <f aca="false">S155*R155</f>
        <v>462.159804049806</v>
      </c>
      <c r="U155" s="24" t="n">
        <f aca="false">P155*$B$6*R155</f>
        <v>277.295882429884</v>
      </c>
      <c r="V155" s="24" t="n">
        <f aca="false">Q155*$B$6*R155</f>
        <v>647.023725669728</v>
      </c>
      <c r="W155" s="6" t="s">
        <v>1160</v>
      </c>
    </row>
    <row r="156" customFormat="false" ht="15" hidden="false" customHeight="false" outlineLevel="0" collapsed="false">
      <c r="A156" s="20" t="str">
        <f aca="false">Charts_Snapshot!A148</f>
        <v>Nutrition|7</v>
      </c>
      <c r="B156" s="20" t="str">
        <f aca="false">Charts_Snapshot!B148</f>
        <v>Nutrition</v>
      </c>
      <c r="C156" s="20" t="n">
        <f aca="false">Charts_Snapshot!D148</f>
        <v>7</v>
      </c>
      <c r="D156" s="20" t="str">
        <f aca="false">Charts_Snapshot!E148</f>
        <v>High-Protein Cottage Cheese Cookbook: From Vintage to Viral - 100+ Easy Recipes That Turn the Internet’s Favorite Ingredient into Real Breakfasts, Dinners &amp; Desserts (Vintage &amp; Viral)</v>
      </c>
      <c r="E156" s="20" t="str">
        <f aca="false">Charts_Snapshot!H148</f>
        <v>Indie (no publisher listed)</v>
      </c>
      <c r="F156" s="21" t="n">
        <f aca="false">Charts_Snapshot!J148</f>
        <v>9.99</v>
      </c>
      <c r="G156" s="22" t="n">
        <f aca="false">Charts_Snapshot!M148</f>
        <v>9789</v>
      </c>
      <c r="H156" s="20" t="n">
        <f aca="false">Charts_Snapshot!P148</f>
        <v>52.8</v>
      </c>
      <c r="I156" s="20" t="str">
        <f aca="false">Charts_Snapshot!N148</f>
        <v>Y</v>
      </c>
      <c r="J156" s="6" t="n">
        <f aca="false">MIN(MATCH(G156,BSR_Table!$A$2:$A$14,1),12)</f>
        <v>7</v>
      </c>
      <c r="K156" s="8" t="n">
        <f aca="false">INDEX(BSR_Table!$A$2:$A$14,J156)</f>
        <v>5000</v>
      </c>
      <c r="L156" s="8" t="n">
        <f aca="false">INDEX(BSR_Table!$A$2:$A$14,J156+1)</f>
        <v>10000</v>
      </c>
      <c r="M156" s="23" t="n">
        <f aca="false">INDEX(BSR_Table!$B$2:$B$14,J156)</f>
        <v>30</v>
      </c>
      <c r="N156" s="23" t="n">
        <f aca="false">INDEX(BSR_Table!$B$2:$B$14,J156+1)</f>
        <v>20</v>
      </c>
      <c r="O156" s="10" t="n">
        <f aca="false">EXP(LN(M156)+(LN(G156)-LN(K156))*(LN(N156)-LN(M156))/(LN(L156)-LN(K156)))</f>
        <v>20.2510584045998</v>
      </c>
      <c r="P156" s="10" t="n">
        <f aca="false">O156*(1-$B$2)</f>
        <v>12.1506350427599</v>
      </c>
      <c r="Q156" s="10" t="n">
        <f aca="false">O156*(1+$B$2)</f>
        <v>28.3514817664397</v>
      </c>
      <c r="R156" s="7" t="n">
        <f aca="false">IF(AND(F156&gt;=$B$4,F156&lt;=$B$5),MAX(0.7*F156-$B$3*H156,0.35*F156),0.35*F156)</f>
        <v>3.4965</v>
      </c>
      <c r="S156" s="8" t="n">
        <f aca="false">O156*$B$6</f>
        <v>607.531752137994</v>
      </c>
      <c r="T156" s="24" t="n">
        <f aca="false">S156*R156</f>
        <v>2124.2347713505</v>
      </c>
      <c r="U156" s="24" t="n">
        <f aca="false">P156*$B$6*R156</f>
        <v>1274.5408628103</v>
      </c>
      <c r="V156" s="24" t="n">
        <f aca="false">Q156*$B$6*R156</f>
        <v>2973.92867989069</v>
      </c>
      <c r="W156" s="6" t="s">
        <v>1160</v>
      </c>
    </row>
    <row r="157" customFormat="false" ht="15" hidden="false" customHeight="false" outlineLevel="0" collapsed="false">
      <c r="A157" s="20" t="str">
        <f aca="false">Charts_Snapshot!A149</f>
        <v>Nutrition|8</v>
      </c>
      <c r="B157" s="20" t="str">
        <f aca="false">Charts_Snapshot!B149</f>
        <v>Nutrition</v>
      </c>
      <c r="C157" s="20" t="n">
        <f aca="false">Charts_Snapshot!D149</f>
        <v>8</v>
      </c>
      <c r="D157" s="20" t="str">
        <f aca="false">Charts_Snapshot!E149</f>
        <v>PlantYou: Scrappy Cooking: 140+ Plant-Based Zero-Waste Recipes That Are Good for You, Your Wallet, and the Planet</v>
      </c>
      <c r="E157" s="20" t="str">
        <f aca="false">Charts_Snapshot!H149</f>
        <v>Traditional/established press</v>
      </c>
      <c r="F157" s="21" t="n">
        <f aca="false">Charts_Snapshot!J149</f>
        <v>2.99</v>
      </c>
      <c r="G157" s="22" t="n">
        <f aca="false">Charts_Snapshot!M149</f>
        <v>10392</v>
      </c>
      <c r="H157" s="20" t="n">
        <f aca="false">Charts_Snapshot!P149</f>
        <v>245.2</v>
      </c>
      <c r="I157" s="20" t="str">
        <f aca="false">Charts_Snapshot!N149</f>
        <v>Y</v>
      </c>
      <c r="J157" s="6" t="n">
        <f aca="false">MIN(MATCH(G157,BSR_Table!$A$2:$A$14,1),12)</f>
        <v>8</v>
      </c>
      <c r="K157" s="8" t="n">
        <f aca="false">INDEX(BSR_Table!$A$2:$A$14,J157)</f>
        <v>10000</v>
      </c>
      <c r="L157" s="8" t="n">
        <f aca="false">INDEX(BSR_Table!$A$2:$A$14,J157+1)</f>
        <v>20000</v>
      </c>
      <c r="M157" s="23" t="n">
        <f aca="false">INDEX(BSR_Table!$B$2:$B$14,J157)</f>
        <v>20</v>
      </c>
      <c r="N157" s="23" t="n">
        <f aca="false">INDEX(BSR_Table!$B$2:$B$14,J157+1)</f>
        <v>10</v>
      </c>
      <c r="O157" s="10" t="n">
        <f aca="false">EXP(LN(M157)+(LN(G157)-LN(K157))*(LN(N157)-LN(M157))/(LN(L157)-LN(K157)))</f>
        <v>19.2455735180909</v>
      </c>
      <c r="P157" s="10" t="n">
        <f aca="false">O157*(1-$B$2)</f>
        <v>11.5473441108545</v>
      </c>
      <c r="Q157" s="10" t="n">
        <f aca="false">O157*(1+$B$2)</f>
        <v>26.9438029253272</v>
      </c>
      <c r="R157" s="7" t="n">
        <f aca="false">IF(AND(F157&gt;=$B$4,F157&lt;=$B$5),MAX(0.7*F157-$B$3*H157,0.35*F157),0.35*F157)</f>
        <v>1.0465</v>
      </c>
      <c r="S157" s="8" t="n">
        <f aca="false">O157*$B$6</f>
        <v>577.367205542726</v>
      </c>
      <c r="T157" s="24" t="n">
        <f aca="false">S157*R157</f>
        <v>604.214780600463</v>
      </c>
      <c r="U157" s="24" t="n">
        <f aca="false">P157*$B$6*R157</f>
        <v>362.528868360278</v>
      </c>
      <c r="V157" s="24" t="n">
        <f aca="false">Q157*$B$6*R157</f>
        <v>845.900692840648</v>
      </c>
      <c r="W157" s="6" t="s">
        <v>1160</v>
      </c>
    </row>
    <row r="158" customFormat="false" ht="15" hidden="false" customHeight="false" outlineLevel="0" collapsed="false">
      <c r="A158" s="20" t="str">
        <f aca="false">Charts_Snapshot!A150</f>
        <v>Nutrition|9</v>
      </c>
      <c r="B158" s="20" t="str">
        <f aca="false">Charts_Snapshot!B150</f>
        <v>Nutrition</v>
      </c>
      <c r="C158" s="20" t="n">
        <f aca="false">Charts_Snapshot!D150</f>
        <v>9</v>
      </c>
      <c r="D158" s="20" t="str">
        <f aca="false">Charts_Snapshot!E150</f>
        <v>Eat to Beat Disease: The New Science of How Your Body Can Heal Itself</v>
      </c>
      <c r="E158" s="20" t="str">
        <f aca="false">Charts_Snapshot!H150</f>
        <v>Traditional/established press</v>
      </c>
      <c r="F158" s="21" t="n">
        <f aca="false">Charts_Snapshot!J150</f>
        <v>4.99</v>
      </c>
      <c r="G158" s="22" t="n">
        <f aca="false">Charts_Snapshot!M150</f>
        <v>11226</v>
      </c>
      <c r="H158" s="20" t="n">
        <f aca="false">Charts_Snapshot!P150</f>
        <v>1.6</v>
      </c>
      <c r="I158" s="20" t="str">
        <f aca="false">Charts_Snapshot!N150</f>
        <v>Y</v>
      </c>
      <c r="J158" s="6" t="n">
        <f aca="false">MIN(MATCH(G158,BSR_Table!$A$2:$A$14,1),12)</f>
        <v>8</v>
      </c>
      <c r="K158" s="8" t="n">
        <f aca="false">INDEX(BSR_Table!$A$2:$A$14,J158)</f>
        <v>10000</v>
      </c>
      <c r="L158" s="8" t="n">
        <f aca="false">INDEX(BSR_Table!$A$2:$A$14,J158+1)</f>
        <v>20000</v>
      </c>
      <c r="M158" s="23" t="n">
        <f aca="false">INDEX(BSR_Table!$B$2:$B$14,J158)</f>
        <v>20</v>
      </c>
      <c r="N158" s="23" t="n">
        <f aca="false">INDEX(BSR_Table!$B$2:$B$14,J158+1)</f>
        <v>10</v>
      </c>
      <c r="O158" s="10" t="n">
        <f aca="false">EXP(LN(M158)+(LN(G158)-LN(K158))*(LN(N158)-LN(M158))/(LN(L158)-LN(K158)))</f>
        <v>17.8157847853198</v>
      </c>
      <c r="P158" s="10" t="n">
        <f aca="false">O158*(1-$B$2)</f>
        <v>10.6894708711919</v>
      </c>
      <c r="Q158" s="10" t="n">
        <f aca="false">O158*(1+$B$2)</f>
        <v>24.9420986994477</v>
      </c>
      <c r="R158" s="7" t="n">
        <f aca="false">IF(AND(F158&gt;=$B$4,F158&lt;=$B$5),MAX(0.7*F158-$B$3*H158,0.35*F158),0.35*F158)</f>
        <v>3.253</v>
      </c>
      <c r="S158" s="8" t="n">
        <f aca="false">O158*$B$6</f>
        <v>534.473543559594</v>
      </c>
      <c r="T158" s="24" t="n">
        <f aca="false">S158*R158</f>
        <v>1738.64243719936</v>
      </c>
      <c r="U158" s="24" t="n">
        <f aca="false">P158*$B$6*R158</f>
        <v>1043.18546231962</v>
      </c>
      <c r="V158" s="24" t="n">
        <f aca="false">Q158*$B$6*R158</f>
        <v>2434.0994120791</v>
      </c>
      <c r="W158" s="6" t="s">
        <v>1160</v>
      </c>
    </row>
    <row r="159" customFormat="false" ht="15" hidden="false" customHeight="false" outlineLevel="0" collapsed="false">
      <c r="A159" s="20" t="str">
        <f aca="false">Charts_Snapshot!A151</f>
        <v>Nutrition|10</v>
      </c>
      <c r="B159" s="20" t="str">
        <f aca="false">Charts_Snapshot!B151</f>
        <v>Nutrition</v>
      </c>
      <c r="C159" s="20" t="n">
        <f aca="false">Charts_Snapshot!D151</f>
        <v>10</v>
      </c>
      <c r="D159" s="20" t="str">
        <f aca="false">Charts_Snapshot!E151</f>
        <v>I Don't Eat That: How Seeing Ultra-Processed Food Clearly Ends the Craving</v>
      </c>
      <c r="E159" s="20" t="str">
        <f aca="false">Charts_Snapshot!H151</f>
        <v>Indie imprint (inferred)</v>
      </c>
      <c r="F159" s="21" t="n">
        <f aca="false">Charts_Snapshot!J151</f>
        <v>0.99</v>
      </c>
      <c r="G159" s="22" t="n">
        <f aca="false">Charts_Snapshot!M151</f>
        <v>11863</v>
      </c>
      <c r="H159" s="20" t="n">
        <f aca="false">Charts_Snapshot!P151</f>
        <v>2.5</v>
      </c>
      <c r="I159" s="20" t="str">
        <f aca="false">Charts_Snapshot!N151</f>
        <v>Y</v>
      </c>
      <c r="J159" s="6" t="n">
        <f aca="false">MIN(MATCH(G159,BSR_Table!$A$2:$A$14,1),12)</f>
        <v>8</v>
      </c>
      <c r="K159" s="8" t="n">
        <f aca="false">INDEX(BSR_Table!$A$2:$A$14,J159)</f>
        <v>10000</v>
      </c>
      <c r="L159" s="8" t="n">
        <f aca="false">INDEX(BSR_Table!$A$2:$A$14,J159+1)</f>
        <v>20000</v>
      </c>
      <c r="M159" s="23" t="n">
        <f aca="false">INDEX(BSR_Table!$B$2:$B$14,J159)</f>
        <v>20</v>
      </c>
      <c r="N159" s="23" t="n">
        <f aca="false">INDEX(BSR_Table!$B$2:$B$14,J159+1)</f>
        <v>10</v>
      </c>
      <c r="O159" s="10" t="n">
        <f aca="false">EXP(LN(M159)+(LN(G159)-LN(K159))*(LN(N159)-LN(M159))/(LN(L159)-LN(K159)))</f>
        <v>16.8591418696788</v>
      </c>
      <c r="P159" s="10" t="n">
        <f aca="false">O159*(1-$B$2)</f>
        <v>10.1154851218073</v>
      </c>
      <c r="Q159" s="10" t="n">
        <f aca="false">O159*(1+$B$2)</f>
        <v>23.6027986175504</v>
      </c>
      <c r="R159" s="7" t="n">
        <f aca="false">IF(AND(F159&gt;=$B$4,F159&lt;=$B$5),MAX(0.7*F159-$B$3*H159,0.35*F159),0.35*F159)</f>
        <v>0.3465</v>
      </c>
      <c r="S159" s="8" t="n">
        <f aca="false">O159*$B$6</f>
        <v>505.774256090365</v>
      </c>
      <c r="T159" s="24" t="n">
        <f aca="false">S159*R159</f>
        <v>175.250779735311</v>
      </c>
      <c r="U159" s="24" t="n">
        <f aca="false">P159*$B$6*R159</f>
        <v>105.150467841187</v>
      </c>
      <c r="V159" s="24" t="n">
        <f aca="false">Q159*$B$6*R159</f>
        <v>245.351091629436</v>
      </c>
      <c r="W159" s="6" t="s">
        <v>1160</v>
      </c>
    </row>
    <row r="160" customFormat="false" ht="15" hidden="false" customHeight="false" outlineLevel="0" collapsed="false">
      <c r="A160" s="20" t="str">
        <f aca="false">Charts_Snapshot!A152</f>
        <v>Nutrition|11</v>
      </c>
      <c r="B160" s="20" t="str">
        <f aca="false">Charts_Snapshot!B152</f>
        <v>Nutrition</v>
      </c>
      <c r="C160" s="20" t="n">
        <f aca="false">Charts_Snapshot!D152</f>
        <v>11</v>
      </c>
      <c r="D160" s="20" t="str">
        <f aca="false">Charts_Snapshot!E152</f>
        <v>Your GLP-1 Game Plan: What Your Doctor Didn't Tell You About How to Eat, Move, and Thrive on Weight Loss Medications—With 50 Easy, Nutritious Recipes</v>
      </c>
      <c r="E160" s="20" t="str">
        <f aca="false">Charts_Snapshot!H152</f>
        <v>Traditional/established press</v>
      </c>
      <c r="F160" s="21" t="n">
        <f aca="false">Charts_Snapshot!J152</f>
        <v>14.99</v>
      </c>
      <c r="G160" s="22" t="n">
        <f aca="false">Charts_Snapshot!M152</f>
        <v>12769</v>
      </c>
      <c r="H160" s="20" t="n">
        <f aca="false">Charts_Snapshot!P152</f>
        <v>8.5</v>
      </c>
      <c r="I160" s="20" t="str">
        <f aca="false">Charts_Snapshot!N152</f>
        <v>N</v>
      </c>
      <c r="J160" s="6" t="n">
        <f aca="false">MIN(MATCH(G160,BSR_Table!$A$2:$A$14,1),12)</f>
        <v>8</v>
      </c>
      <c r="K160" s="8" t="n">
        <f aca="false">INDEX(BSR_Table!$A$2:$A$14,J160)</f>
        <v>10000</v>
      </c>
      <c r="L160" s="8" t="n">
        <f aca="false">INDEX(BSR_Table!$A$2:$A$14,J160+1)</f>
        <v>20000</v>
      </c>
      <c r="M160" s="23" t="n">
        <f aca="false">INDEX(BSR_Table!$B$2:$B$14,J160)</f>
        <v>20</v>
      </c>
      <c r="N160" s="23" t="n">
        <f aca="false">INDEX(BSR_Table!$B$2:$B$14,J160+1)</f>
        <v>10</v>
      </c>
      <c r="O160" s="10" t="n">
        <f aca="false">EXP(LN(M160)+(LN(G160)-LN(K160))*(LN(N160)-LN(M160))/(LN(L160)-LN(K160)))</f>
        <v>15.6629336674759</v>
      </c>
      <c r="P160" s="10" t="n">
        <f aca="false">O160*(1-$B$2)</f>
        <v>9.39776020048555</v>
      </c>
      <c r="Q160" s="10" t="n">
        <f aca="false">O160*(1+$B$2)</f>
        <v>21.9281071344663</v>
      </c>
      <c r="R160" s="7" t="n">
        <f aca="false">IF(AND(F160&gt;=$B$4,F160&lt;=$B$5),MAX(0.7*F160-$B$3*H160,0.35*F160),0.35*F160)</f>
        <v>5.2465</v>
      </c>
      <c r="S160" s="8" t="n">
        <f aca="false">O160*$B$6</f>
        <v>469.888010024277</v>
      </c>
      <c r="T160" s="24" t="n">
        <f aca="false">S160*R160</f>
        <v>2465.26744459237</v>
      </c>
      <c r="U160" s="24" t="n">
        <f aca="false">P160*$B$6*R160</f>
        <v>1479.16046675542</v>
      </c>
      <c r="V160" s="24" t="n">
        <f aca="false">Q160*$B$6*R160</f>
        <v>3451.37442242932</v>
      </c>
      <c r="W160" s="6" t="s">
        <v>1160</v>
      </c>
    </row>
    <row r="161" customFormat="false" ht="15" hidden="false" customHeight="false" outlineLevel="0" collapsed="false">
      <c r="A161" s="20" t="str">
        <f aca="false">Charts_Snapshot!A153</f>
        <v>Nutrition|12</v>
      </c>
      <c r="B161" s="20" t="str">
        <f aca="false">Charts_Snapshot!B153</f>
        <v>Nutrition</v>
      </c>
      <c r="C161" s="20" t="n">
        <f aca="false">Charts_Snapshot!D153</f>
        <v>12</v>
      </c>
      <c r="D161" s="20" t="str">
        <f aca="false">Charts_Snapshot!E153</f>
        <v>Complete Calisthenics, Second Edition: The Ultimate Guide to Bodyweight Exercise</v>
      </c>
      <c r="E161" s="20" t="str">
        <f aca="false">Charts_Snapshot!H153</f>
        <v>Traditional/established press</v>
      </c>
      <c r="F161" s="21" t="n">
        <f aca="false">Charts_Snapshot!J153</f>
        <v>1.99</v>
      </c>
      <c r="G161" s="22" t="n">
        <f aca="false">Charts_Snapshot!M153</f>
        <v>13417</v>
      </c>
      <c r="H161" s="20" t="n">
        <f aca="false">Charts_Snapshot!P153</f>
        <v>73.3</v>
      </c>
      <c r="I161" s="20" t="str">
        <f aca="false">Charts_Snapshot!N153</f>
        <v>N</v>
      </c>
      <c r="J161" s="6" t="n">
        <f aca="false">MIN(MATCH(G161,BSR_Table!$A$2:$A$14,1),12)</f>
        <v>8</v>
      </c>
      <c r="K161" s="8" t="n">
        <f aca="false">INDEX(BSR_Table!$A$2:$A$14,J161)</f>
        <v>10000</v>
      </c>
      <c r="L161" s="8" t="n">
        <f aca="false">INDEX(BSR_Table!$A$2:$A$14,J161+1)</f>
        <v>20000</v>
      </c>
      <c r="M161" s="23" t="n">
        <f aca="false">INDEX(BSR_Table!$B$2:$B$14,J161)</f>
        <v>20</v>
      </c>
      <c r="N161" s="23" t="n">
        <f aca="false">INDEX(BSR_Table!$B$2:$B$14,J161+1)</f>
        <v>10</v>
      </c>
      <c r="O161" s="10" t="n">
        <f aca="false">EXP(LN(M161)+(LN(G161)-LN(K161))*(LN(N161)-LN(M161))/(LN(L161)-LN(K161)))</f>
        <v>14.9064619512559</v>
      </c>
      <c r="P161" s="10" t="n">
        <f aca="false">O161*(1-$B$2)</f>
        <v>8.94387717075352</v>
      </c>
      <c r="Q161" s="10" t="n">
        <f aca="false">O161*(1+$B$2)</f>
        <v>20.8690467317582</v>
      </c>
      <c r="R161" s="7" t="n">
        <f aca="false">IF(AND(F161&gt;=$B$4,F161&lt;=$B$5),MAX(0.7*F161-$B$3*H161,0.35*F161),0.35*F161)</f>
        <v>0.6965</v>
      </c>
      <c r="S161" s="8" t="n">
        <f aca="false">O161*$B$6</f>
        <v>447.193858537676</v>
      </c>
      <c r="T161" s="24" t="n">
        <f aca="false">S161*R161</f>
        <v>311.470522471491</v>
      </c>
      <c r="U161" s="24" t="n">
        <f aca="false">P161*$B$6*R161</f>
        <v>186.882313482895</v>
      </c>
      <c r="V161" s="24" t="n">
        <f aca="false">Q161*$B$6*R161</f>
        <v>436.058731460088</v>
      </c>
      <c r="W161" s="6" t="s">
        <v>1160</v>
      </c>
    </row>
    <row r="162" customFormat="false" ht="15" hidden="false" customHeight="false" outlineLevel="0" collapsed="false">
      <c r="A162" s="20" t="str">
        <f aca="false">Charts_Snapshot!A154</f>
        <v>Nutrition|13</v>
      </c>
      <c r="B162" s="20" t="str">
        <f aca="false">Charts_Snapshot!B154</f>
        <v>Nutrition</v>
      </c>
      <c r="C162" s="20" t="n">
        <f aca="false">Charts_Snapshot!D154</f>
        <v>13</v>
      </c>
      <c r="D162" s="20" t="str">
        <f aca="false">Charts_Snapshot!E154</f>
        <v>Metabolic Freedom: A 30-Day Guide to Restore Your Metabolism, Heal Hormones &amp; Burn Fat</v>
      </c>
      <c r="E162" s="20" t="str">
        <f aca="false">Charts_Snapshot!H154</f>
        <v>Traditional/established press</v>
      </c>
      <c r="F162" s="21" t="n">
        <f aca="false">Charts_Snapshot!J154</f>
        <v>4.99</v>
      </c>
      <c r="G162" s="22" t="n">
        <f aca="false">Charts_Snapshot!M154</f>
        <v>13460</v>
      </c>
      <c r="H162" s="20" t="n">
        <f aca="false">Charts_Snapshot!P154</f>
        <v>2</v>
      </c>
      <c r="I162" s="20" t="str">
        <f aca="false">Charts_Snapshot!N154</f>
        <v>N</v>
      </c>
      <c r="J162" s="6" t="n">
        <f aca="false">MIN(MATCH(G162,BSR_Table!$A$2:$A$14,1),12)</f>
        <v>8</v>
      </c>
      <c r="K162" s="8" t="n">
        <f aca="false">INDEX(BSR_Table!$A$2:$A$14,J162)</f>
        <v>10000</v>
      </c>
      <c r="L162" s="8" t="n">
        <f aca="false">INDEX(BSR_Table!$A$2:$A$14,J162+1)</f>
        <v>20000</v>
      </c>
      <c r="M162" s="23" t="n">
        <f aca="false">INDEX(BSR_Table!$B$2:$B$14,J162)</f>
        <v>20</v>
      </c>
      <c r="N162" s="23" t="n">
        <f aca="false">INDEX(BSR_Table!$B$2:$B$14,J162+1)</f>
        <v>10</v>
      </c>
      <c r="O162" s="10" t="n">
        <f aca="false">EXP(LN(M162)+(LN(G162)-LN(K162))*(LN(N162)-LN(M162))/(LN(L162)-LN(K162)))</f>
        <v>14.8588410104012</v>
      </c>
      <c r="P162" s="10" t="n">
        <f aca="false">O162*(1-$B$2)</f>
        <v>8.91530460624071</v>
      </c>
      <c r="Q162" s="10" t="n">
        <f aca="false">O162*(1+$B$2)</f>
        <v>20.8023774145617</v>
      </c>
      <c r="R162" s="7" t="n">
        <f aca="false">IF(AND(F162&gt;=$B$4,F162&lt;=$B$5),MAX(0.7*F162-$B$3*H162,0.35*F162),0.35*F162)</f>
        <v>3.193</v>
      </c>
      <c r="S162" s="8" t="n">
        <f aca="false">O162*$B$6</f>
        <v>445.765230312036</v>
      </c>
      <c r="T162" s="24" t="n">
        <f aca="false">S162*R162</f>
        <v>1423.32838038633</v>
      </c>
      <c r="U162" s="24" t="n">
        <f aca="false">P162*$B$6*R162</f>
        <v>853.997028231798</v>
      </c>
      <c r="V162" s="24" t="n">
        <f aca="false">Q162*$B$6*R162</f>
        <v>1992.65973254086</v>
      </c>
      <c r="W162" s="6" t="s">
        <v>1160</v>
      </c>
    </row>
    <row r="163" customFormat="false" ht="15" hidden="false" customHeight="false" outlineLevel="0" collapsed="false">
      <c r="A163" s="20" t="str">
        <f aca="false">Charts_Snapshot!A155</f>
        <v>Nutrition|14</v>
      </c>
      <c r="B163" s="20" t="str">
        <f aca="false">Charts_Snapshot!B155</f>
        <v>Nutrition</v>
      </c>
      <c r="C163" s="20" t="n">
        <f aca="false">Charts_Snapshot!D155</f>
        <v>14</v>
      </c>
      <c r="D163" s="20" t="str">
        <f aca="false">Charts_Snapshot!E155</f>
        <v>Bite Me: Will Tennyson's Guide to Low-Calorie, High-Protein Cooking for Macro Wins</v>
      </c>
      <c r="E163" s="20" t="str">
        <f aca="false">Charts_Snapshot!H155</f>
        <v>Traditional/established press</v>
      </c>
      <c r="F163" s="21" t="n">
        <f aca="false">Charts_Snapshot!J155</f>
        <v>1.99</v>
      </c>
      <c r="G163" s="22" t="n">
        <f aca="false">Charts_Snapshot!M155</f>
        <v>14471</v>
      </c>
      <c r="H163" s="20" t="n">
        <f aca="false">Charts_Snapshot!P155</f>
        <v>325.8</v>
      </c>
      <c r="I163" s="20" t="str">
        <f aca="false">Charts_Snapshot!N155</f>
        <v>N</v>
      </c>
      <c r="J163" s="6" t="n">
        <f aca="false">MIN(MATCH(G163,BSR_Table!$A$2:$A$14,1),12)</f>
        <v>8</v>
      </c>
      <c r="K163" s="8" t="n">
        <f aca="false">INDEX(BSR_Table!$A$2:$A$14,J163)</f>
        <v>10000</v>
      </c>
      <c r="L163" s="8" t="n">
        <f aca="false">INDEX(BSR_Table!$A$2:$A$14,J163+1)</f>
        <v>20000</v>
      </c>
      <c r="M163" s="23" t="n">
        <f aca="false">INDEX(BSR_Table!$B$2:$B$14,J163)</f>
        <v>20</v>
      </c>
      <c r="N163" s="23" t="n">
        <f aca="false">INDEX(BSR_Table!$B$2:$B$14,J163+1)</f>
        <v>10</v>
      </c>
      <c r="O163" s="10" t="n">
        <f aca="false">EXP(LN(M163)+(LN(G163)-LN(K163))*(LN(N163)-LN(M163))/(LN(L163)-LN(K163)))</f>
        <v>13.8207449381522</v>
      </c>
      <c r="P163" s="10" t="n">
        <f aca="false">O163*(1-$B$2)</f>
        <v>8.2924469628913</v>
      </c>
      <c r="Q163" s="10" t="n">
        <f aca="false">O163*(1+$B$2)</f>
        <v>19.349042913413</v>
      </c>
      <c r="R163" s="7" t="n">
        <f aca="false">IF(AND(F163&gt;=$B$4,F163&lt;=$B$5),MAX(0.7*F163-$B$3*H163,0.35*F163),0.35*F163)</f>
        <v>0.6965</v>
      </c>
      <c r="S163" s="8" t="n">
        <f aca="false">O163*$B$6</f>
        <v>414.622348144565</v>
      </c>
      <c r="T163" s="24" t="n">
        <f aca="false">S163*R163</f>
        <v>288.78446548269</v>
      </c>
      <c r="U163" s="24" t="n">
        <f aca="false">P163*$B$6*R163</f>
        <v>173.270679289614</v>
      </c>
      <c r="V163" s="24" t="n">
        <f aca="false">Q163*$B$6*R163</f>
        <v>404.298251675765</v>
      </c>
      <c r="W163" s="6" t="s">
        <v>1160</v>
      </c>
    </row>
    <row r="164" customFormat="false" ht="15" hidden="false" customHeight="false" outlineLevel="0" collapsed="false">
      <c r="A164" s="20" t="str">
        <f aca="false">Charts_Snapshot!A156</f>
        <v>Nutrition|15</v>
      </c>
      <c r="B164" s="20" t="str">
        <f aca="false">Charts_Snapshot!B156</f>
        <v>Nutrition</v>
      </c>
      <c r="C164" s="20" t="n">
        <f aca="false">Charts_Snapshot!D156</f>
        <v>15</v>
      </c>
      <c r="D164" s="20" t="str">
        <f aca="false">Charts_Snapshot!E156</f>
        <v>How Not to Die: Revised and Updated: Discover the Foods Scientifically Proven to Prevent and Reverse Disease</v>
      </c>
      <c r="E164" s="20" t="str">
        <f aca="false">Charts_Snapshot!H156</f>
        <v>Traditional/established press</v>
      </c>
      <c r="F164" s="21" t="n">
        <f aca="false">Charts_Snapshot!J156</f>
        <v>19.99</v>
      </c>
      <c r="G164" s="22" t="n">
        <f aca="false">Charts_Snapshot!M156</f>
        <v>14821</v>
      </c>
      <c r="H164" s="20" t="n">
        <f aca="false">Charts_Snapshot!P156</f>
        <v>5.9</v>
      </c>
      <c r="I164" s="20" t="str">
        <f aca="false">Charts_Snapshot!N156</f>
        <v>Y</v>
      </c>
      <c r="J164" s="6" t="n">
        <f aca="false">MIN(MATCH(G164,BSR_Table!$A$2:$A$14,1),12)</f>
        <v>8</v>
      </c>
      <c r="K164" s="8" t="n">
        <f aca="false">INDEX(BSR_Table!$A$2:$A$14,J164)</f>
        <v>10000</v>
      </c>
      <c r="L164" s="8" t="n">
        <f aca="false">INDEX(BSR_Table!$A$2:$A$14,J164+1)</f>
        <v>20000</v>
      </c>
      <c r="M164" s="23" t="n">
        <f aca="false">INDEX(BSR_Table!$B$2:$B$14,J164)</f>
        <v>20</v>
      </c>
      <c r="N164" s="23" t="n">
        <f aca="false">INDEX(BSR_Table!$B$2:$B$14,J164+1)</f>
        <v>10</v>
      </c>
      <c r="O164" s="10" t="n">
        <f aca="false">EXP(LN(M164)+(LN(G164)-LN(K164))*(LN(N164)-LN(M164))/(LN(L164)-LN(K164)))</f>
        <v>13.4943661021524</v>
      </c>
      <c r="P164" s="10" t="n">
        <f aca="false">O164*(1-$B$2)</f>
        <v>8.09661966129141</v>
      </c>
      <c r="Q164" s="10" t="n">
        <f aca="false">O164*(1+$B$2)</f>
        <v>18.8921125430133</v>
      </c>
      <c r="R164" s="7" t="n">
        <f aca="false">IF(AND(F164&gt;=$B$4,F164&lt;=$B$5),MAX(0.7*F164-$B$3*H164,0.35*F164),0.35*F164)</f>
        <v>6.9965</v>
      </c>
      <c r="S164" s="8" t="n">
        <f aca="false">O164*$B$6</f>
        <v>404.830983064571</v>
      </c>
      <c r="T164" s="24" t="n">
        <f aca="false">S164*R164</f>
        <v>2832.39997301127</v>
      </c>
      <c r="U164" s="24" t="n">
        <f aca="false">P164*$B$6*R164</f>
        <v>1699.43998380676</v>
      </c>
      <c r="V164" s="24" t="n">
        <f aca="false">Q164*$B$6*R164</f>
        <v>3965.35996221577</v>
      </c>
      <c r="W164" s="6" t="s">
        <v>1160</v>
      </c>
    </row>
    <row r="165" customFormat="false" ht="15" hidden="false" customHeight="false" outlineLevel="0" collapsed="false">
      <c r="A165" s="20" t="str">
        <f aca="false">Charts_Snapshot!A157</f>
        <v>Nutrition|16</v>
      </c>
      <c r="B165" s="20" t="str">
        <f aca="false">Charts_Snapshot!B157</f>
        <v>Nutrition</v>
      </c>
      <c r="C165" s="20" t="n">
        <f aca="false">Charts_Snapshot!D157</f>
        <v>16</v>
      </c>
      <c r="D165" s="20" t="str">
        <f aca="false">Charts_Snapshot!E157</f>
        <v>Dr. Sean O’Mara Diet: Melt Visceral Fat and Transform Your Body: The Science-Backed Carnivore Diet with Fermented Recipes to Reverse Inflammation, Boost Gut Health, and Build Lean Muscle</v>
      </c>
      <c r="E165" s="20" t="str">
        <f aca="false">Charts_Snapshot!H157</f>
        <v>Indie (no publisher listed)</v>
      </c>
      <c r="F165" s="21" t="n">
        <f aca="false">Charts_Snapshot!J157</f>
        <v>4.99</v>
      </c>
      <c r="G165" s="22" t="n">
        <f aca="false">Charts_Snapshot!M157</f>
        <v>14879</v>
      </c>
      <c r="H165" s="20" t="n">
        <f aca="false">Charts_Snapshot!P157</f>
        <v>0.74</v>
      </c>
      <c r="I165" s="20" t="str">
        <f aca="false">Charts_Snapshot!N157</f>
        <v>Y</v>
      </c>
      <c r="J165" s="6" t="n">
        <f aca="false">MIN(MATCH(G165,BSR_Table!$A$2:$A$14,1),12)</f>
        <v>8</v>
      </c>
      <c r="K165" s="8" t="n">
        <f aca="false">INDEX(BSR_Table!$A$2:$A$14,J165)</f>
        <v>10000</v>
      </c>
      <c r="L165" s="8" t="n">
        <f aca="false">INDEX(BSR_Table!$A$2:$A$14,J165+1)</f>
        <v>20000</v>
      </c>
      <c r="M165" s="23" t="n">
        <f aca="false">INDEX(BSR_Table!$B$2:$B$14,J165)</f>
        <v>20</v>
      </c>
      <c r="N165" s="23" t="n">
        <f aca="false">INDEX(BSR_Table!$B$2:$B$14,J165+1)</f>
        <v>10</v>
      </c>
      <c r="O165" s="10" t="n">
        <f aca="false">EXP(LN(M165)+(LN(G165)-LN(K165))*(LN(N165)-LN(M165))/(LN(L165)-LN(K165)))</f>
        <v>13.441763559379</v>
      </c>
      <c r="P165" s="10" t="n">
        <f aca="false">O165*(1-$B$2)</f>
        <v>8.0650581356274</v>
      </c>
      <c r="Q165" s="10" t="n">
        <f aca="false">O165*(1+$B$2)</f>
        <v>18.8184689831306</v>
      </c>
      <c r="R165" s="7" t="n">
        <f aca="false">IF(AND(F165&gt;=$B$4,F165&lt;=$B$5),MAX(0.7*F165-$B$3*H165,0.35*F165),0.35*F165)</f>
        <v>3.382</v>
      </c>
      <c r="S165" s="8" t="n">
        <f aca="false">O165*$B$6</f>
        <v>403.25290678137</v>
      </c>
      <c r="T165" s="24" t="n">
        <f aca="false">S165*R165</f>
        <v>1363.80133073459</v>
      </c>
      <c r="U165" s="24" t="n">
        <f aca="false">P165*$B$6*R165</f>
        <v>818.280798440756</v>
      </c>
      <c r="V165" s="24" t="n">
        <f aca="false">Q165*$B$6*R165</f>
        <v>1909.32186302843</v>
      </c>
      <c r="W165" s="6" t="s">
        <v>1160</v>
      </c>
    </row>
    <row r="166" customFormat="false" ht="15" hidden="false" customHeight="false" outlineLevel="0" collapsed="false">
      <c r="A166" s="20" t="str">
        <f aca="false">Charts_Snapshot!A158</f>
        <v>Nutrition|17</v>
      </c>
      <c r="B166" s="20" t="str">
        <f aca="false">Charts_Snapshot!B158</f>
        <v>Nutrition</v>
      </c>
      <c r="C166" s="20" t="n">
        <f aca="false">Charts_Snapshot!D158</f>
        <v>17</v>
      </c>
      <c r="D166" s="20" t="str">
        <f aca="false">Charts_Snapshot!E158</f>
        <v>Pure, White, and Deadly: How Sugar Is Killing Us and What We Can Do to Stop It</v>
      </c>
      <c r="E166" s="20" t="str">
        <f aca="false">Charts_Snapshot!H158</f>
        <v>Traditional/established press</v>
      </c>
      <c r="F166" s="21" t="n">
        <f aca="false">Charts_Snapshot!J158</f>
        <v>1.99</v>
      </c>
      <c r="G166" s="22" t="n">
        <f aca="false">Charts_Snapshot!M158</f>
        <v>15028</v>
      </c>
      <c r="H166" s="20" t="n">
        <f aca="false">Charts_Snapshot!P158</f>
        <v>1.9</v>
      </c>
      <c r="I166" s="20" t="str">
        <f aca="false">Charts_Snapshot!N158</f>
        <v>N</v>
      </c>
      <c r="J166" s="6" t="n">
        <f aca="false">MIN(MATCH(G166,BSR_Table!$A$2:$A$14,1),12)</f>
        <v>8</v>
      </c>
      <c r="K166" s="8" t="n">
        <f aca="false">INDEX(BSR_Table!$A$2:$A$14,J166)</f>
        <v>10000</v>
      </c>
      <c r="L166" s="8" t="n">
        <f aca="false">INDEX(BSR_Table!$A$2:$A$14,J166+1)</f>
        <v>20000</v>
      </c>
      <c r="M166" s="23" t="n">
        <f aca="false">INDEX(BSR_Table!$B$2:$B$14,J166)</f>
        <v>20</v>
      </c>
      <c r="N166" s="23" t="n">
        <f aca="false">INDEX(BSR_Table!$B$2:$B$14,J166+1)</f>
        <v>10</v>
      </c>
      <c r="O166" s="10" t="n">
        <f aca="false">EXP(LN(M166)+(LN(G166)-LN(K166))*(LN(N166)-LN(M166))/(LN(L166)-LN(K166)))</f>
        <v>13.3084908171413</v>
      </c>
      <c r="P166" s="10" t="n">
        <f aca="false">O166*(1-$B$2)</f>
        <v>7.9850944902848</v>
      </c>
      <c r="Q166" s="10" t="n">
        <f aca="false">O166*(1+$B$2)</f>
        <v>18.6318871439979</v>
      </c>
      <c r="R166" s="7" t="n">
        <f aca="false">IF(AND(F166&gt;=$B$4,F166&lt;=$B$5),MAX(0.7*F166-$B$3*H166,0.35*F166),0.35*F166)</f>
        <v>0.6965</v>
      </c>
      <c r="S166" s="8" t="n">
        <f aca="false">O166*$B$6</f>
        <v>399.25472451424</v>
      </c>
      <c r="T166" s="24" t="n">
        <f aca="false">S166*R166</f>
        <v>278.080915624168</v>
      </c>
      <c r="U166" s="24" t="n">
        <f aca="false">P166*$B$6*R166</f>
        <v>166.848549374501</v>
      </c>
      <c r="V166" s="24" t="n">
        <f aca="false">Q166*$B$6*R166</f>
        <v>389.313281873836</v>
      </c>
      <c r="W166" s="6" t="s">
        <v>1160</v>
      </c>
    </row>
    <row r="167" customFormat="false" ht="15" hidden="false" customHeight="false" outlineLevel="0" collapsed="false">
      <c r="A167" s="20" t="str">
        <f aca="false">Charts_Snapshot!A159</f>
        <v>Nutrition|18</v>
      </c>
      <c r="B167" s="20" t="str">
        <f aca="false">Charts_Snapshot!B159</f>
        <v>Nutrition</v>
      </c>
      <c r="C167" s="20" t="n">
        <f aca="false">Charts_Snapshot!D159</f>
        <v>18</v>
      </c>
      <c r="D167" s="20" t="str">
        <f aca="false">Charts_Snapshot!E159</f>
        <v>Fat Chance: Beating the Odds Against Sugar, Processed Food, Obesity, and Disease</v>
      </c>
      <c r="E167" s="20" t="str">
        <f aca="false">Charts_Snapshot!H159</f>
        <v>Traditional/established press</v>
      </c>
      <c r="F167" s="21" t="n">
        <f aca="false">Charts_Snapshot!J159</f>
        <v>1.99</v>
      </c>
      <c r="G167" s="22" t="n">
        <f aca="false">Charts_Snapshot!M159</f>
        <v>15624</v>
      </c>
      <c r="H167" s="20" t="n">
        <f aca="false">Charts_Snapshot!P159</f>
        <v>8.7</v>
      </c>
      <c r="I167" s="20" t="str">
        <f aca="false">Charts_Snapshot!N159</f>
        <v>N</v>
      </c>
      <c r="J167" s="6" t="n">
        <f aca="false">MIN(MATCH(G167,BSR_Table!$A$2:$A$14,1),12)</f>
        <v>8</v>
      </c>
      <c r="K167" s="8" t="n">
        <f aca="false">INDEX(BSR_Table!$A$2:$A$14,J167)</f>
        <v>10000</v>
      </c>
      <c r="L167" s="8" t="n">
        <f aca="false">INDEX(BSR_Table!$A$2:$A$14,J167+1)</f>
        <v>20000</v>
      </c>
      <c r="M167" s="23" t="n">
        <f aca="false">INDEX(BSR_Table!$B$2:$B$14,J167)</f>
        <v>20</v>
      </c>
      <c r="N167" s="23" t="n">
        <f aca="false">INDEX(BSR_Table!$B$2:$B$14,J167+1)</f>
        <v>10</v>
      </c>
      <c r="O167" s="10" t="n">
        <f aca="false">EXP(LN(M167)+(LN(G167)-LN(K167))*(LN(N167)-LN(M167))/(LN(L167)-LN(K167)))</f>
        <v>12.8008192524322</v>
      </c>
      <c r="P167" s="10" t="n">
        <f aca="false">O167*(1-$B$2)</f>
        <v>7.68049155145929</v>
      </c>
      <c r="Q167" s="10" t="n">
        <f aca="false">O167*(1+$B$2)</f>
        <v>17.921146953405</v>
      </c>
      <c r="R167" s="7" t="n">
        <f aca="false">IF(AND(F167&gt;=$B$4,F167&lt;=$B$5),MAX(0.7*F167-$B$3*H167,0.35*F167),0.35*F167)</f>
        <v>0.6965</v>
      </c>
      <c r="S167" s="8" t="n">
        <f aca="false">O167*$B$6</f>
        <v>384.024577572965</v>
      </c>
      <c r="T167" s="24" t="n">
        <f aca="false">S167*R167</f>
        <v>267.47311827957</v>
      </c>
      <c r="U167" s="24" t="n">
        <f aca="false">P167*$B$6*R167</f>
        <v>160.483870967742</v>
      </c>
      <c r="V167" s="24" t="n">
        <f aca="false">Q167*$B$6*R167</f>
        <v>374.462365591398</v>
      </c>
      <c r="W167" s="6" t="s">
        <v>1160</v>
      </c>
    </row>
    <row r="168" customFormat="false" ht="15" hidden="false" customHeight="false" outlineLevel="0" collapsed="false">
      <c r="A168" s="20" t="str">
        <f aca="false">Charts_Snapshot!A160</f>
        <v>Nutrition|19</v>
      </c>
      <c r="B168" s="20" t="str">
        <f aca="false">Charts_Snapshot!B160</f>
        <v>Nutrition</v>
      </c>
      <c r="C168" s="20" t="n">
        <f aca="false">Charts_Snapshot!D160</f>
        <v>19</v>
      </c>
      <c r="D168" s="20" t="str">
        <f aca="false">Charts_Snapshot!E160</f>
        <v>The Herbal Apothecary: The ultimate beginner's guide to building your home apothecary and crafting powerful remedies for vibrant health</v>
      </c>
      <c r="E168" s="20" t="str">
        <f aca="false">Charts_Snapshot!H160</f>
        <v>Indie imprint (inferred)</v>
      </c>
      <c r="F168" s="21" t="n">
        <f aca="false">Charts_Snapshot!J160</f>
        <v>0.51</v>
      </c>
      <c r="G168" s="22" t="n">
        <f aca="false">Charts_Snapshot!M160</f>
        <v>16084</v>
      </c>
      <c r="H168" s="20" t="n">
        <f aca="false">Charts_Snapshot!P160</f>
        <v>36.3</v>
      </c>
      <c r="I168" s="20" t="str">
        <f aca="false">Charts_Snapshot!N160</f>
        <v>N</v>
      </c>
      <c r="J168" s="6" t="n">
        <f aca="false">MIN(MATCH(G168,BSR_Table!$A$2:$A$14,1),12)</f>
        <v>8</v>
      </c>
      <c r="K168" s="8" t="n">
        <f aca="false">INDEX(BSR_Table!$A$2:$A$14,J168)</f>
        <v>10000</v>
      </c>
      <c r="L168" s="8" t="n">
        <f aca="false">INDEX(BSR_Table!$A$2:$A$14,J168+1)</f>
        <v>20000</v>
      </c>
      <c r="M168" s="23" t="n">
        <f aca="false">INDEX(BSR_Table!$B$2:$B$14,J168)</f>
        <v>20</v>
      </c>
      <c r="N168" s="23" t="n">
        <f aca="false">INDEX(BSR_Table!$B$2:$B$14,J168+1)</f>
        <v>10</v>
      </c>
      <c r="O168" s="10" t="n">
        <f aca="false">EXP(LN(M168)+(LN(G168)-LN(K168))*(LN(N168)-LN(M168))/(LN(L168)-LN(K168)))</f>
        <v>12.4347177319075</v>
      </c>
      <c r="P168" s="10" t="n">
        <f aca="false">O168*(1-$B$2)</f>
        <v>7.4608306391445</v>
      </c>
      <c r="Q168" s="10" t="n">
        <f aca="false">O168*(1+$B$2)</f>
        <v>17.4086048246705</v>
      </c>
      <c r="R168" s="7" t="n">
        <f aca="false">IF(AND(F168&gt;=$B$4,F168&lt;=$B$5),MAX(0.7*F168-$B$3*H168,0.35*F168),0.35*F168)</f>
        <v>0.1785</v>
      </c>
      <c r="S168" s="8" t="n">
        <f aca="false">O168*$B$6</f>
        <v>373.041531957225</v>
      </c>
      <c r="T168" s="24" t="n">
        <f aca="false">S168*R168</f>
        <v>66.5879134543646</v>
      </c>
      <c r="U168" s="24" t="n">
        <f aca="false">P168*$B$6*R168</f>
        <v>39.9527480726188</v>
      </c>
      <c r="V168" s="24" t="n">
        <f aca="false">Q168*$B$6*R168</f>
        <v>93.2230788361105</v>
      </c>
      <c r="W168" s="6" t="s">
        <v>1160</v>
      </c>
    </row>
    <row r="169" customFormat="false" ht="15" hidden="false" customHeight="false" outlineLevel="0" collapsed="false">
      <c r="A169" s="20" t="str">
        <f aca="false">Charts_Snapshot!A161</f>
        <v>Nutrition|20</v>
      </c>
      <c r="B169" s="20" t="str">
        <f aca="false">Charts_Snapshot!B161</f>
        <v>Nutrition</v>
      </c>
      <c r="C169" s="20" t="n">
        <f aca="false">Charts_Snapshot!D161</f>
        <v>20</v>
      </c>
      <c r="D169" s="20" t="str">
        <f aca="false">Charts_Snapshot!E161</f>
        <v>Natural Healing Handbook Recipes &amp; Remedies: Your Complete Guide to Using Food as Medicine and Herbal Remedies to Fight Inflammation, Boost Immunity, and Restore Natural Vitality</v>
      </c>
      <c r="E169" s="20" t="str">
        <f aca="false">Charts_Snapshot!H161</f>
        <v>Indie imprint (inferred)</v>
      </c>
      <c r="F169" s="21" t="n">
        <f aca="false">Charts_Snapshot!J161</f>
        <v>0.51</v>
      </c>
      <c r="G169" s="22" t="n">
        <f aca="false">Charts_Snapshot!M161</f>
        <v>17516</v>
      </c>
      <c r="H169" s="20" t="n">
        <f aca="false">Charts_Snapshot!P161</f>
        <v>1.1</v>
      </c>
      <c r="I169" s="20" t="str">
        <f aca="false">Charts_Snapshot!N161</f>
        <v>N</v>
      </c>
      <c r="J169" s="6" t="n">
        <f aca="false">MIN(MATCH(G169,BSR_Table!$A$2:$A$14,1),12)</f>
        <v>8</v>
      </c>
      <c r="K169" s="8" t="n">
        <f aca="false">INDEX(BSR_Table!$A$2:$A$14,J169)</f>
        <v>10000</v>
      </c>
      <c r="L169" s="8" t="n">
        <f aca="false">INDEX(BSR_Table!$A$2:$A$14,J169+1)</f>
        <v>20000</v>
      </c>
      <c r="M169" s="23" t="n">
        <f aca="false">INDEX(BSR_Table!$B$2:$B$14,J169)</f>
        <v>20</v>
      </c>
      <c r="N169" s="23" t="n">
        <f aca="false">INDEX(BSR_Table!$B$2:$B$14,J169+1)</f>
        <v>10</v>
      </c>
      <c r="O169" s="10" t="n">
        <f aca="false">EXP(LN(M169)+(LN(G169)-LN(K169))*(LN(N169)-LN(M169))/(LN(L169)-LN(K169)))</f>
        <v>11.4181319936058</v>
      </c>
      <c r="P169" s="10" t="n">
        <f aca="false">O169*(1-$B$2)</f>
        <v>6.85087919616351</v>
      </c>
      <c r="Q169" s="10" t="n">
        <f aca="false">O169*(1+$B$2)</f>
        <v>15.9853847910482</v>
      </c>
      <c r="R169" s="7" t="n">
        <f aca="false">IF(AND(F169&gt;=$B$4,F169&lt;=$B$5),MAX(0.7*F169-$B$3*H169,0.35*F169),0.35*F169)</f>
        <v>0.1785</v>
      </c>
      <c r="S169" s="8" t="n">
        <f aca="false">O169*$B$6</f>
        <v>342.543959808175</v>
      </c>
      <c r="T169" s="24" t="n">
        <f aca="false">S169*R169</f>
        <v>61.1440968257593</v>
      </c>
      <c r="U169" s="24" t="n">
        <f aca="false">P169*$B$6*R169</f>
        <v>36.6864580954556</v>
      </c>
      <c r="V169" s="24" t="n">
        <f aca="false">Q169*$B$6*R169</f>
        <v>85.601735556063</v>
      </c>
      <c r="W169" s="6" t="s">
        <v>1160</v>
      </c>
    </row>
    <row r="170" customFormat="false" ht="15" hidden="false" customHeight="false" outlineLevel="0" collapsed="false">
      <c r="A170" s="20" t="str">
        <f aca="false">Charts_Snapshot!A162</f>
        <v>Quick &amp; Easy (Cookbooks)|1</v>
      </c>
      <c r="B170" s="20" t="str">
        <f aca="false">Charts_Snapshot!B162</f>
        <v>Quick &amp; Easy (Cookbooks)</v>
      </c>
      <c r="C170" s="20" t="n">
        <f aca="false">Charts_Snapshot!D162</f>
        <v>1</v>
      </c>
      <c r="D170" s="20" t="str">
        <f aca="false">Charts_Snapshot!E162</f>
        <v>The Curry Bible: The Ultimate Indian Cookbook Featuring 100 Classic Recipes</v>
      </c>
      <c r="E170" s="20" t="str">
        <f aca="false">Charts_Snapshot!H162</f>
        <v>Traditional/established press</v>
      </c>
      <c r="F170" s="21" t="n">
        <f aca="false">Charts_Snapshot!J162</f>
        <v>0.99</v>
      </c>
      <c r="G170" s="22" t="n">
        <f aca="false">Charts_Snapshot!M162</f>
        <v>581</v>
      </c>
      <c r="H170" s="20" t="n">
        <f aca="false">Charts_Snapshot!P162</f>
        <v>94.4</v>
      </c>
      <c r="I170" s="20" t="str">
        <f aca="false">Charts_Snapshot!N162</f>
        <v>N</v>
      </c>
      <c r="J170" s="6" t="n">
        <f aca="false">MIN(MATCH(G170,BSR_Table!$A$2:$A$14,1),12)</f>
        <v>4</v>
      </c>
      <c r="K170" s="8" t="n">
        <f aca="false">INDEX(BSR_Table!$A$2:$A$14,J170)</f>
        <v>500</v>
      </c>
      <c r="L170" s="8" t="n">
        <f aca="false">INDEX(BSR_Table!$A$2:$A$14,J170+1)</f>
        <v>1000</v>
      </c>
      <c r="M170" s="23" t="n">
        <f aca="false">INDEX(BSR_Table!$B$2:$B$14,J170)</f>
        <v>280</v>
      </c>
      <c r="N170" s="23" t="n">
        <f aca="false">INDEX(BSR_Table!$B$2:$B$14,J170+1)</f>
        <v>120</v>
      </c>
      <c r="O170" s="10" t="n">
        <f aca="false">EXP(LN(M170)+(LN(G170)-LN(K170))*(LN(N170)-LN(M170))/(LN(L170)-LN(K170)))</f>
        <v>233.050776655964</v>
      </c>
      <c r="P170" s="10" t="n">
        <f aca="false">O170*(1-$B$2)</f>
        <v>139.830465993579</v>
      </c>
      <c r="Q170" s="10" t="n">
        <f aca="false">O170*(1+$B$2)</f>
        <v>326.27108731835</v>
      </c>
      <c r="R170" s="7" t="n">
        <f aca="false">IF(AND(F170&gt;=$B$4,F170&lt;=$B$5),MAX(0.7*F170-$B$3*H170,0.35*F170),0.35*F170)</f>
        <v>0.3465</v>
      </c>
      <c r="S170" s="8" t="n">
        <f aca="false">O170*$B$6</f>
        <v>6991.52329967893</v>
      </c>
      <c r="T170" s="24" t="n">
        <f aca="false">S170*R170</f>
        <v>2422.56282333875</v>
      </c>
      <c r="U170" s="24" t="n">
        <f aca="false">P170*$B$6*R170</f>
        <v>1453.53769400325</v>
      </c>
      <c r="V170" s="24" t="n">
        <f aca="false">Q170*$B$6*R170</f>
        <v>3391.58795267425</v>
      </c>
      <c r="W170" s="6" t="s">
        <v>1160</v>
      </c>
    </row>
    <row r="171" customFormat="false" ht="15" hidden="false" customHeight="false" outlineLevel="0" collapsed="false">
      <c r="A171" s="20" t="str">
        <f aca="false">Charts_Snapshot!A163</f>
        <v>Quick &amp; Easy (Cookbooks)|2</v>
      </c>
      <c r="B171" s="20" t="str">
        <f aca="false">Charts_Snapshot!B163</f>
        <v>Quick &amp; Easy (Cookbooks)</v>
      </c>
      <c r="C171" s="20" t="n">
        <f aca="false">Charts_Snapshot!D163</f>
        <v>2</v>
      </c>
      <c r="D171" s="20" t="str">
        <f aca="false">Charts_Snapshot!E163</f>
        <v>The Chicken Bible: Say Goodbye to Boring Chicken with 500 Recipes for Easy Dinners, Braises, Wings, Stir-Fries, and So Much More</v>
      </c>
      <c r="E171" s="20" t="str">
        <f aca="false">Charts_Snapshot!H163</f>
        <v>Traditional/established press</v>
      </c>
      <c r="F171" s="21" t="n">
        <f aca="false">Charts_Snapshot!J163</f>
        <v>3.99</v>
      </c>
      <c r="G171" s="22" t="n">
        <f aca="false">Charts_Snapshot!M163</f>
        <v>3689</v>
      </c>
      <c r="H171" s="20" t="n">
        <f aca="false">Charts_Snapshot!P163</f>
        <v>608.3</v>
      </c>
      <c r="I171" s="20" t="str">
        <f aca="false">Charts_Snapshot!N163</f>
        <v>N</v>
      </c>
      <c r="J171" s="6" t="n">
        <f aca="false">MIN(MATCH(G171,BSR_Table!$A$2:$A$14,1),12)</f>
        <v>6</v>
      </c>
      <c r="K171" s="8" t="n">
        <f aca="false">INDEX(BSR_Table!$A$2:$A$14,J171)</f>
        <v>2000</v>
      </c>
      <c r="L171" s="8" t="n">
        <f aca="false">INDEX(BSR_Table!$A$2:$A$14,J171+1)</f>
        <v>5000</v>
      </c>
      <c r="M171" s="23" t="n">
        <f aca="false">INDEX(BSR_Table!$B$2:$B$14,J171)</f>
        <v>65</v>
      </c>
      <c r="N171" s="23" t="n">
        <f aca="false">INDEX(BSR_Table!$B$2:$B$14,J171+1)</f>
        <v>30</v>
      </c>
      <c r="O171" s="10" t="n">
        <f aca="false">EXP(LN(M171)+(LN(G171)-LN(K171))*(LN(N171)-LN(M171))/(LN(L171)-LN(K171)))</f>
        <v>38.7755571548591</v>
      </c>
      <c r="P171" s="10" t="n">
        <f aca="false">O171*(1-$B$2)</f>
        <v>23.2653342929154</v>
      </c>
      <c r="Q171" s="10" t="n">
        <f aca="false">O171*(1+$B$2)</f>
        <v>54.2857800168027</v>
      </c>
      <c r="R171" s="7" t="n">
        <f aca="false">IF(AND(F171&gt;=$B$4,F171&lt;=$B$5),MAX(0.7*F171-$B$3*H171,0.35*F171),0.35*F171)</f>
        <v>1.3965</v>
      </c>
      <c r="S171" s="8" t="n">
        <f aca="false">O171*$B$6</f>
        <v>1163.26671464577</v>
      </c>
      <c r="T171" s="24" t="n">
        <f aca="false">S171*R171</f>
        <v>1624.50196700282</v>
      </c>
      <c r="U171" s="24" t="n">
        <f aca="false">P171*$B$6*R171</f>
        <v>974.701180201692</v>
      </c>
      <c r="V171" s="24" t="n">
        <f aca="false">Q171*$B$6*R171</f>
        <v>2274.30275380395</v>
      </c>
      <c r="W171" s="6" t="s">
        <v>1160</v>
      </c>
    </row>
    <row r="172" customFormat="false" ht="15" hidden="false" customHeight="false" outlineLevel="0" collapsed="false">
      <c r="A172" s="20" t="str">
        <f aca="false">Charts_Snapshot!A164</f>
        <v>Quick &amp; Easy (Cookbooks)|3</v>
      </c>
      <c r="B172" s="20" t="str">
        <f aca="false">Charts_Snapshot!B164</f>
        <v>Quick &amp; Easy (Cookbooks)</v>
      </c>
      <c r="C172" s="20" t="n">
        <f aca="false">Charts_Snapshot!D164</f>
        <v>3</v>
      </c>
      <c r="D172" s="20" t="str">
        <f aca="false">Charts_Snapshot!E164</f>
        <v>Cookie Classics Made Easy: One-Bowl Recipes, Perfect Results</v>
      </c>
      <c r="E172" s="20" t="str">
        <f aca="false">Charts_Snapshot!H164</f>
        <v>Traditional/established press</v>
      </c>
      <c r="F172" s="21" t="n">
        <f aca="false">Charts_Snapshot!J164</f>
        <v>0.5</v>
      </c>
      <c r="G172" s="22" t="n">
        <f aca="false">Charts_Snapshot!M164</f>
        <v>4006</v>
      </c>
      <c r="H172" s="20" t="n">
        <f aca="false">Charts_Snapshot!P164</f>
        <v>10.3</v>
      </c>
      <c r="I172" s="20" t="str">
        <f aca="false">Charts_Snapshot!N164</f>
        <v>N</v>
      </c>
      <c r="J172" s="6" t="n">
        <f aca="false">MIN(MATCH(G172,BSR_Table!$A$2:$A$14,1),12)</f>
        <v>6</v>
      </c>
      <c r="K172" s="8" t="n">
        <f aca="false">INDEX(BSR_Table!$A$2:$A$14,J172)</f>
        <v>2000</v>
      </c>
      <c r="L172" s="8" t="n">
        <f aca="false">INDEX(BSR_Table!$A$2:$A$14,J172+1)</f>
        <v>5000</v>
      </c>
      <c r="M172" s="23" t="n">
        <f aca="false">INDEX(BSR_Table!$B$2:$B$14,J172)</f>
        <v>65</v>
      </c>
      <c r="N172" s="23" t="n">
        <f aca="false">INDEX(BSR_Table!$B$2:$B$14,J172+1)</f>
        <v>30</v>
      </c>
      <c r="O172" s="10" t="n">
        <f aca="false">EXP(LN(M172)+(LN(G172)-LN(K172))*(LN(N172)-LN(M172))/(LN(L172)-LN(K172)))</f>
        <v>36.1698865026999</v>
      </c>
      <c r="P172" s="10" t="n">
        <f aca="false">O172*(1-$B$2)</f>
        <v>21.7019319016199</v>
      </c>
      <c r="Q172" s="10" t="n">
        <f aca="false">O172*(1+$B$2)</f>
        <v>50.6378411037798</v>
      </c>
      <c r="R172" s="7" t="n">
        <f aca="false">IF(AND(F172&gt;=$B$4,F172&lt;=$B$5),MAX(0.7*F172-$B$3*H172,0.35*F172),0.35*F172)</f>
        <v>0.175</v>
      </c>
      <c r="S172" s="8" t="n">
        <f aca="false">O172*$B$6</f>
        <v>1085.096595081</v>
      </c>
      <c r="T172" s="24" t="n">
        <f aca="false">S172*R172</f>
        <v>189.891904139174</v>
      </c>
      <c r="U172" s="24" t="n">
        <f aca="false">P172*$B$6*R172</f>
        <v>113.935142483505</v>
      </c>
      <c r="V172" s="24" t="n">
        <f aca="false">Q172*$B$6*R172</f>
        <v>265.848665794844</v>
      </c>
      <c r="W172" s="6" t="s">
        <v>1160</v>
      </c>
    </row>
    <row r="173" customFormat="false" ht="15" hidden="false" customHeight="false" outlineLevel="0" collapsed="false">
      <c r="A173" s="20" t="str">
        <f aca="false">Charts_Snapshot!A165</f>
        <v>Quick &amp; Easy (Cookbooks)|4</v>
      </c>
      <c r="B173" s="20" t="str">
        <f aca="false">Charts_Snapshot!B165</f>
        <v>Quick &amp; Easy (Cookbooks)</v>
      </c>
      <c r="C173" s="20" t="n">
        <f aca="false">Charts_Snapshot!D165</f>
        <v>4</v>
      </c>
      <c r="D173" s="20" t="str">
        <f aca="false">Charts_Snapshot!E165</f>
        <v>1,001 Delicious Soups &amp; Stews: From Elegant Classics to Hearty One-Pot Meals (1,001 Best Recipes)</v>
      </c>
      <c r="E173" s="20" t="str">
        <f aca="false">Charts_Snapshot!H165</f>
        <v>Traditional/established press</v>
      </c>
      <c r="F173" s="21" t="n">
        <f aca="false">Charts_Snapshot!J165</f>
        <v>1.99</v>
      </c>
      <c r="G173" s="22" t="n">
        <f aca="false">Charts_Snapshot!M165</f>
        <v>4043</v>
      </c>
      <c r="H173" s="20" t="n">
        <f aca="false">Charts_Snapshot!P165</f>
        <v>4.8</v>
      </c>
      <c r="I173" s="20" t="str">
        <f aca="false">Charts_Snapshot!N165</f>
        <v>Y</v>
      </c>
      <c r="J173" s="6" t="n">
        <f aca="false">MIN(MATCH(G173,BSR_Table!$A$2:$A$14,1),12)</f>
        <v>6</v>
      </c>
      <c r="K173" s="8" t="n">
        <f aca="false">INDEX(BSR_Table!$A$2:$A$14,J173)</f>
        <v>2000</v>
      </c>
      <c r="L173" s="8" t="n">
        <f aca="false">INDEX(BSR_Table!$A$2:$A$14,J173+1)</f>
        <v>5000</v>
      </c>
      <c r="M173" s="23" t="n">
        <f aca="false">INDEX(BSR_Table!$B$2:$B$14,J173)</f>
        <v>65</v>
      </c>
      <c r="N173" s="23" t="n">
        <f aca="false">INDEX(BSR_Table!$B$2:$B$14,J173+1)</f>
        <v>30</v>
      </c>
      <c r="O173" s="10" t="n">
        <f aca="false">EXP(LN(M173)+(LN(G173)-LN(K173))*(LN(N173)-LN(M173))/(LN(L173)-LN(K173)))</f>
        <v>35.8903687822703</v>
      </c>
      <c r="P173" s="10" t="n">
        <f aca="false">O173*(1-$B$2)</f>
        <v>21.5342212693622</v>
      </c>
      <c r="Q173" s="10" t="n">
        <f aca="false">O173*(1+$B$2)</f>
        <v>50.2465162951784</v>
      </c>
      <c r="R173" s="7" t="n">
        <f aca="false">IF(AND(F173&gt;=$B$4,F173&lt;=$B$5),MAX(0.7*F173-$B$3*H173,0.35*F173),0.35*F173)</f>
        <v>0.6965</v>
      </c>
      <c r="S173" s="8" t="n">
        <f aca="false">O173*$B$6</f>
        <v>1076.71106346811</v>
      </c>
      <c r="T173" s="24" t="n">
        <f aca="false">S173*R173</f>
        <v>749.929255705538</v>
      </c>
      <c r="U173" s="24" t="n">
        <f aca="false">P173*$B$6*R173</f>
        <v>449.957553423322</v>
      </c>
      <c r="V173" s="24" t="n">
        <f aca="false">Q173*$B$6*R173</f>
        <v>1049.90095798775</v>
      </c>
      <c r="W173" s="6" t="s">
        <v>1160</v>
      </c>
    </row>
    <row r="174" customFormat="false" ht="15" hidden="false" customHeight="false" outlineLevel="0" collapsed="false">
      <c r="A174" s="20" t="str">
        <f aca="false">Charts_Snapshot!A166</f>
        <v>Quick &amp; Easy (Cookbooks)|5</v>
      </c>
      <c r="B174" s="20" t="str">
        <f aca="false">Charts_Snapshot!B166</f>
        <v>Quick &amp; Easy (Cookbooks)</v>
      </c>
      <c r="C174" s="20" t="n">
        <f aca="false">Charts_Snapshot!D166</f>
        <v>5</v>
      </c>
      <c r="D174" s="20" t="str">
        <f aca="false">Charts_Snapshot!E166</f>
        <v>PlantYou Quickies: 140+ Nourishing Plant-Based Recipes for Busy People</v>
      </c>
      <c r="E174" s="20" t="str">
        <f aca="false">Charts_Snapshot!H166</f>
        <v>Traditional/established press</v>
      </c>
      <c r="F174" s="21" t="n">
        <f aca="false">Charts_Snapshot!J166</f>
        <v>16.99</v>
      </c>
      <c r="G174" s="22" t="n">
        <f aca="false">Charts_Snapshot!M166</f>
        <v>4167</v>
      </c>
      <c r="H174" s="20" t="n">
        <f aca="false">Charts_Snapshot!P166</f>
        <v>234.1</v>
      </c>
      <c r="I174" s="20" t="str">
        <f aca="false">Charts_Snapshot!N166</f>
        <v>N</v>
      </c>
      <c r="J174" s="6" t="n">
        <f aca="false">MIN(MATCH(G174,BSR_Table!$A$2:$A$14,1),12)</f>
        <v>6</v>
      </c>
      <c r="K174" s="8" t="n">
        <f aca="false">INDEX(BSR_Table!$A$2:$A$14,J174)</f>
        <v>2000</v>
      </c>
      <c r="L174" s="8" t="n">
        <f aca="false">INDEX(BSR_Table!$A$2:$A$14,J174+1)</f>
        <v>5000</v>
      </c>
      <c r="M174" s="23" t="n">
        <f aca="false">INDEX(BSR_Table!$B$2:$B$14,J174)</f>
        <v>65</v>
      </c>
      <c r="N174" s="23" t="n">
        <f aca="false">INDEX(BSR_Table!$B$2:$B$14,J174+1)</f>
        <v>30</v>
      </c>
      <c r="O174" s="10" t="n">
        <f aca="false">EXP(LN(M174)+(LN(G174)-LN(K174))*(LN(N174)-LN(M174))/(LN(L174)-LN(K174)))</f>
        <v>34.987034057372</v>
      </c>
      <c r="P174" s="10" t="n">
        <f aca="false">O174*(1-$B$2)</f>
        <v>20.9922204344232</v>
      </c>
      <c r="Q174" s="10" t="n">
        <f aca="false">O174*(1+$B$2)</f>
        <v>48.9818476803209</v>
      </c>
      <c r="R174" s="7" t="n">
        <f aca="false">IF(AND(F174&gt;=$B$4,F174&lt;=$B$5),MAX(0.7*F174-$B$3*H174,0.35*F174),0.35*F174)</f>
        <v>5.9465</v>
      </c>
      <c r="S174" s="8" t="n">
        <f aca="false">O174*$B$6</f>
        <v>1049.61102172116</v>
      </c>
      <c r="T174" s="24" t="n">
        <f aca="false">S174*R174</f>
        <v>6241.51194066489</v>
      </c>
      <c r="U174" s="24" t="n">
        <f aca="false">P174*$B$6*R174</f>
        <v>3744.90716439893</v>
      </c>
      <c r="V174" s="24" t="n">
        <f aca="false">Q174*$B$6*R174</f>
        <v>8738.11671693084</v>
      </c>
      <c r="W174" s="6" t="s">
        <v>1160</v>
      </c>
    </row>
    <row r="175" customFormat="false" ht="15" hidden="false" customHeight="false" outlineLevel="0" collapsed="false">
      <c r="A175" s="20" t="str">
        <f aca="false">Charts_Snapshot!A167</f>
        <v>Quick &amp; Easy (Cookbooks)|6</v>
      </c>
      <c r="B175" s="20" t="str">
        <f aca="false">Charts_Snapshot!B167</f>
        <v>Quick &amp; Easy (Cookbooks)</v>
      </c>
      <c r="C175" s="20" t="n">
        <f aca="false">Charts_Snapshot!D167</f>
        <v>6</v>
      </c>
      <c r="D175" s="20" t="str">
        <f aca="false">Charts_Snapshot!E167</f>
        <v>Feeding Tiny Bellies: School Lunches: Over 100 Lunch Boxes and Snacks for Kids</v>
      </c>
      <c r="E175" s="20" t="str">
        <f aca="false">Charts_Snapshot!H167</f>
        <v>Traditional/established press</v>
      </c>
      <c r="F175" s="21" t="n">
        <f aca="false">Charts_Snapshot!J167</f>
        <v>12.99</v>
      </c>
      <c r="G175" s="22" t="n">
        <f aca="false">Charts_Snapshot!M167</f>
        <v>5998</v>
      </c>
      <c r="H175" s="20" t="n">
        <f aca="false">Charts_Snapshot!P167</f>
        <v>129.8</v>
      </c>
      <c r="I175" s="20" t="str">
        <f aca="false">Charts_Snapshot!N167</f>
        <v>N</v>
      </c>
      <c r="J175" s="6" t="n">
        <f aca="false">MIN(MATCH(G175,BSR_Table!$A$2:$A$14,1),12)</f>
        <v>7</v>
      </c>
      <c r="K175" s="8" t="n">
        <f aca="false">INDEX(BSR_Table!$A$2:$A$14,J175)</f>
        <v>5000</v>
      </c>
      <c r="L175" s="8" t="n">
        <f aca="false">INDEX(BSR_Table!$A$2:$A$14,J175+1)</f>
        <v>10000</v>
      </c>
      <c r="M175" s="23" t="n">
        <f aca="false">INDEX(BSR_Table!$B$2:$B$14,J175)</f>
        <v>30</v>
      </c>
      <c r="N175" s="23" t="n">
        <f aca="false">INDEX(BSR_Table!$B$2:$B$14,J175+1)</f>
        <v>20</v>
      </c>
      <c r="O175" s="10" t="n">
        <f aca="false">EXP(LN(M175)+(LN(G175)-LN(K175))*(LN(N175)-LN(M175))/(LN(L175)-LN(K175)))</f>
        <v>26.9704312731216</v>
      </c>
      <c r="P175" s="10" t="n">
        <f aca="false">O175*(1-$B$2)</f>
        <v>16.182258763873</v>
      </c>
      <c r="Q175" s="10" t="n">
        <f aca="false">O175*(1+$B$2)</f>
        <v>37.7586037823702</v>
      </c>
      <c r="R175" s="7" t="n">
        <f aca="false">IF(AND(F175&gt;=$B$4,F175&lt;=$B$5),MAX(0.7*F175-$B$3*H175,0.35*F175),0.35*F175)</f>
        <v>4.5465</v>
      </c>
      <c r="S175" s="8" t="n">
        <f aca="false">O175*$B$6</f>
        <v>809.112938193648</v>
      </c>
      <c r="T175" s="24" t="n">
        <f aca="false">S175*R175</f>
        <v>3678.63197349742</v>
      </c>
      <c r="U175" s="24" t="n">
        <f aca="false">P175*$B$6*R175</f>
        <v>2207.17918409845</v>
      </c>
      <c r="V175" s="24" t="n">
        <f aca="false">Q175*$B$6*R175</f>
        <v>5150.08476289639</v>
      </c>
      <c r="W175" s="6" t="s">
        <v>1160</v>
      </c>
    </row>
    <row r="176" customFormat="false" ht="15" hidden="false" customHeight="false" outlineLevel="0" collapsed="false">
      <c r="A176" s="20" t="str">
        <f aca="false">Charts_Snapshot!A168</f>
        <v>Quick &amp; Easy (Cookbooks)|7</v>
      </c>
      <c r="B176" s="20" t="str">
        <f aca="false">Charts_Snapshot!B168</f>
        <v>Quick &amp; Easy (Cookbooks)</v>
      </c>
      <c r="C176" s="20" t="n">
        <f aca="false">Charts_Snapshot!D168</f>
        <v>7</v>
      </c>
      <c r="D176" s="20" t="str">
        <f aca="false">Charts_Snapshot!E168</f>
        <v>Ottolenghi Simple Too: A Cookbook</v>
      </c>
      <c r="E176" s="20" t="str">
        <f aca="false">Charts_Snapshot!H168</f>
        <v>Traditional/established press</v>
      </c>
      <c r="F176" s="21" t="n">
        <f aca="false">Charts_Snapshot!J168</f>
        <v>14.99</v>
      </c>
      <c r="G176" s="22" t="n">
        <f aca="false">Charts_Snapshot!M168</f>
        <v>6659</v>
      </c>
      <c r="H176" s="20" t="n">
        <f aca="false">Charts_Snapshot!P168</f>
        <v>432.1</v>
      </c>
      <c r="I176" s="20" t="str">
        <f aca="false">Charts_Snapshot!N168</f>
        <v>N</v>
      </c>
      <c r="J176" s="6" t="n">
        <f aca="false">MIN(MATCH(G176,BSR_Table!$A$2:$A$14,1),12)</f>
        <v>7</v>
      </c>
      <c r="K176" s="8" t="n">
        <f aca="false">INDEX(BSR_Table!$A$2:$A$14,J176)</f>
        <v>5000</v>
      </c>
      <c r="L176" s="8" t="n">
        <f aca="false">INDEX(BSR_Table!$A$2:$A$14,J176+1)</f>
        <v>10000</v>
      </c>
      <c r="M176" s="23" t="n">
        <f aca="false">INDEX(BSR_Table!$B$2:$B$14,J176)</f>
        <v>30</v>
      </c>
      <c r="N176" s="23" t="n">
        <f aca="false">INDEX(BSR_Table!$B$2:$B$14,J176+1)</f>
        <v>20</v>
      </c>
      <c r="O176" s="10" t="n">
        <f aca="false">EXP(LN(M176)+(LN(G176)-LN(K176))*(LN(N176)-LN(M176))/(LN(L176)-LN(K176)))</f>
        <v>25.3705042975935</v>
      </c>
      <c r="P176" s="10" t="n">
        <f aca="false">O176*(1-$B$2)</f>
        <v>15.2223025785561</v>
      </c>
      <c r="Q176" s="10" t="n">
        <f aca="false">O176*(1+$B$2)</f>
        <v>35.5187060166308</v>
      </c>
      <c r="R176" s="7" t="n">
        <f aca="false">IF(AND(F176&gt;=$B$4,F176&lt;=$B$5),MAX(0.7*F176-$B$3*H176,0.35*F176),0.35*F176)</f>
        <v>5.2465</v>
      </c>
      <c r="S176" s="8" t="n">
        <f aca="false">O176*$B$6</f>
        <v>761.115128927803</v>
      </c>
      <c r="T176" s="24" t="n">
        <f aca="false">S176*R176</f>
        <v>3993.19052391972</v>
      </c>
      <c r="U176" s="24" t="n">
        <f aca="false">P176*$B$6*R176</f>
        <v>2395.91431435183</v>
      </c>
      <c r="V176" s="24" t="n">
        <f aca="false">Q176*$B$6*R176</f>
        <v>5590.46673348761</v>
      </c>
      <c r="W176" s="6" t="s">
        <v>1160</v>
      </c>
    </row>
    <row r="177" customFormat="false" ht="15" hidden="false" customHeight="false" outlineLevel="0" collapsed="false">
      <c r="A177" s="20" t="str">
        <f aca="false">Charts_Snapshot!A169</f>
        <v>Quick &amp; Easy (Cookbooks)|8</v>
      </c>
      <c r="B177" s="20" t="str">
        <f aca="false">Charts_Snapshot!B169</f>
        <v>Quick &amp; Easy (Cookbooks)</v>
      </c>
      <c r="C177" s="20" t="n">
        <f aca="false">Charts_Snapshot!D169</f>
        <v>8</v>
      </c>
      <c r="D177" s="20" t="str">
        <f aca="false">Charts_Snapshot!E169</f>
        <v>The Ultimate Meal-Prep Cookbook: One Grocery List. A Week of Meals. No Waste.</v>
      </c>
      <c r="E177" s="20" t="str">
        <f aca="false">Charts_Snapshot!H169</f>
        <v>Traditional/established press</v>
      </c>
      <c r="F177" s="21" t="n">
        <f aca="false">Charts_Snapshot!J169</f>
        <v>3.99</v>
      </c>
      <c r="G177" s="22" t="n">
        <f aca="false">Charts_Snapshot!M169</f>
        <v>7343</v>
      </c>
      <c r="H177" s="20" t="n">
        <f aca="false">Charts_Snapshot!P169</f>
        <v>475.2</v>
      </c>
      <c r="I177" s="20" t="str">
        <f aca="false">Charts_Snapshot!N169</f>
        <v>N</v>
      </c>
      <c r="J177" s="6" t="n">
        <f aca="false">MIN(MATCH(G177,BSR_Table!$A$2:$A$14,1),12)</f>
        <v>7</v>
      </c>
      <c r="K177" s="8" t="n">
        <f aca="false">INDEX(BSR_Table!$A$2:$A$14,J177)</f>
        <v>5000</v>
      </c>
      <c r="L177" s="8" t="n">
        <f aca="false">INDEX(BSR_Table!$A$2:$A$14,J177+1)</f>
        <v>10000</v>
      </c>
      <c r="M177" s="23" t="n">
        <f aca="false">INDEX(BSR_Table!$B$2:$B$14,J177)</f>
        <v>30</v>
      </c>
      <c r="N177" s="23" t="n">
        <f aca="false">INDEX(BSR_Table!$B$2:$B$14,J177+1)</f>
        <v>20</v>
      </c>
      <c r="O177" s="10" t="n">
        <f aca="false">EXP(LN(M177)+(LN(G177)-LN(K177))*(LN(N177)-LN(M177))/(LN(L177)-LN(K177)))</f>
        <v>23.9601179701248</v>
      </c>
      <c r="P177" s="10" t="n">
        <f aca="false">O177*(1-$B$2)</f>
        <v>14.3760707820749</v>
      </c>
      <c r="Q177" s="10" t="n">
        <f aca="false">O177*(1+$B$2)</f>
        <v>33.5441651581748</v>
      </c>
      <c r="R177" s="7" t="n">
        <f aca="false">IF(AND(F177&gt;=$B$4,F177&lt;=$B$5),MAX(0.7*F177-$B$3*H177,0.35*F177),0.35*F177)</f>
        <v>1.3965</v>
      </c>
      <c r="S177" s="8" t="n">
        <f aca="false">O177*$B$6</f>
        <v>718.803539103745</v>
      </c>
      <c r="T177" s="24" t="n">
        <f aca="false">S177*R177</f>
        <v>1003.80914235838</v>
      </c>
      <c r="U177" s="24" t="n">
        <f aca="false">P177*$B$6*R177</f>
        <v>602.285485415028</v>
      </c>
      <c r="V177" s="24" t="n">
        <f aca="false">Q177*$B$6*R177</f>
        <v>1405.33279930173</v>
      </c>
      <c r="W177" s="6" t="s">
        <v>1160</v>
      </c>
    </row>
    <row r="178" customFormat="false" ht="15" hidden="false" customHeight="false" outlineLevel="0" collapsed="false">
      <c r="A178" s="20" t="str">
        <f aca="false">Charts_Snapshot!A170</f>
        <v>Quick &amp; Easy (Cookbooks)|9</v>
      </c>
      <c r="B178" s="20" t="str">
        <f aca="false">Charts_Snapshot!B170</f>
        <v>Quick &amp; Easy (Cookbooks)</v>
      </c>
      <c r="C178" s="20" t="n">
        <f aca="false">Charts_Snapshot!D170</f>
        <v>9</v>
      </c>
      <c r="D178" s="20" t="str">
        <f aca="false">Charts_Snapshot!E170</f>
        <v>Mediterranean Instant Pot: Easy, Inspired Meals for Eating Well</v>
      </c>
      <c r="E178" s="20" t="str">
        <f aca="false">Charts_Snapshot!H170</f>
        <v>Traditional/established press</v>
      </c>
      <c r="F178" s="21" t="n">
        <f aca="false">Charts_Snapshot!J170</f>
        <v>3.99</v>
      </c>
      <c r="G178" s="22" t="n">
        <f aca="false">Charts_Snapshot!M170</f>
        <v>7403</v>
      </c>
      <c r="H178" s="20" t="n">
        <f aca="false">Charts_Snapshot!P170</f>
        <v>251</v>
      </c>
      <c r="I178" s="20" t="str">
        <f aca="false">Charts_Snapshot!N170</f>
        <v>N</v>
      </c>
      <c r="J178" s="6" t="n">
        <f aca="false">MIN(MATCH(G178,BSR_Table!$A$2:$A$14,1),12)</f>
        <v>7</v>
      </c>
      <c r="K178" s="8" t="n">
        <f aca="false">INDEX(BSR_Table!$A$2:$A$14,J178)</f>
        <v>5000</v>
      </c>
      <c r="L178" s="8" t="n">
        <f aca="false">INDEX(BSR_Table!$A$2:$A$14,J178+1)</f>
        <v>10000</v>
      </c>
      <c r="M178" s="23" t="n">
        <f aca="false">INDEX(BSR_Table!$B$2:$B$14,J178)</f>
        <v>30</v>
      </c>
      <c r="N178" s="23" t="n">
        <f aca="false">INDEX(BSR_Table!$B$2:$B$14,J178+1)</f>
        <v>20</v>
      </c>
      <c r="O178" s="10" t="n">
        <f aca="false">EXP(LN(M178)+(LN(G178)-LN(K178))*(LN(N178)-LN(M178))/(LN(L178)-LN(K178)))</f>
        <v>23.8463308493871</v>
      </c>
      <c r="P178" s="10" t="n">
        <f aca="false">O178*(1-$B$2)</f>
        <v>14.3077985096323</v>
      </c>
      <c r="Q178" s="10" t="n">
        <f aca="false">O178*(1+$B$2)</f>
        <v>33.3848631891419</v>
      </c>
      <c r="R178" s="7" t="n">
        <f aca="false">IF(AND(F178&gt;=$B$4,F178&lt;=$B$5),MAX(0.7*F178-$B$3*H178,0.35*F178),0.35*F178)</f>
        <v>1.3965</v>
      </c>
      <c r="S178" s="8" t="n">
        <f aca="false">O178*$B$6</f>
        <v>715.389925481613</v>
      </c>
      <c r="T178" s="24" t="n">
        <f aca="false">S178*R178</f>
        <v>999.042030935073</v>
      </c>
      <c r="U178" s="24" t="n">
        <f aca="false">P178*$B$6*R178</f>
        <v>599.425218561044</v>
      </c>
      <c r="V178" s="24" t="n">
        <f aca="false">Q178*$B$6*R178</f>
        <v>1398.6588433091</v>
      </c>
      <c r="W178" s="6" t="s">
        <v>1160</v>
      </c>
    </row>
    <row r="179" customFormat="false" ht="15" hidden="false" customHeight="false" outlineLevel="0" collapsed="false">
      <c r="A179" s="20" t="str">
        <f aca="false">Charts_Snapshot!A171</f>
        <v>Quick &amp; Easy (Cookbooks)|10</v>
      </c>
      <c r="B179" s="20" t="str">
        <f aca="false">Charts_Snapshot!B171</f>
        <v>Quick &amp; Easy (Cookbooks)</v>
      </c>
      <c r="C179" s="20" t="n">
        <f aca="false">Charts_Snapshot!D171</f>
        <v>10</v>
      </c>
      <c r="D179" s="20" t="str">
        <f aca="false">Charts_Snapshot!E171</f>
        <v>The Complete Cooking for Two Cookbook, 10th Anniversary Edition: 700+ Recipes for Everything You'll Ever Want to Make</v>
      </c>
      <c r="E179" s="20" t="str">
        <f aca="false">Charts_Snapshot!H171</f>
        <v>Traditional/established press</v>
      </c>
      <c r="F179" s="21" t="n">
        <f aca="false">Charts_Snapshot!J171</f>
        <v>5.99</v>
      </c>
      <c r="G179" s="22" t="n">
        <f aca="false">Charts_Snapshot!M171</f>
        <v>8316</v>
      </c>
      <c r="H179" s="20" t="n">
        <f aca="false">Charts_Snapshot!P171</f>
        <v>455.7</v>
      </c>
      <c r="I179" s="20" t="str">
        <f aca="false">Charts_Snapshot!N171</f>
        <v>N</v>
      </c>
      <c r="J179" s="6" t="n">
        <f aca="false">MIN(MATCH(G179,BSR_Table!$A$2:$A$14,1),12)</f>
        <v>7</v>
      </c>
      <c r="K179" s="8" t="n">
        <f aca="false">INDEX(BSR_Table!$A$2:$A$14,J179)</f>
        <v>5000</v>
      </c>
      <c r="L179" s="8" t="n">
        <f aca="false">INDEX(BSR_Table!$A$2:$A$14,J179+1)</f>
        <v>10000</v>
      </c>
      <c r="M179" s="23" t="n">
        <f aca="false">INDEX(BSR_Table!$B$2:$B$14,J179)</f>
        <v>30</v>
      </c>
      <c r="N179" s="23" t="n">
        <f aca="false">INDEX(BSR_Table!$B$2:$B$14,J179+1)</f>
        <v>20</v>
      </c>
      <c r="O179" s="10" t="n">
        <f aca="false">EXP(LN(M179)+(LN(G179)-LN(K179))*(LN(N179)-LN(M179))/(LN(L179)-LN(K179)))</f>
        <v>22.2780421517615</v>
      </c>
      <c r="P179" s="10" t="n">
        <f aca="false">O179*(1-$B$2)</f>
        <v>13.3668252910569</v>
      </c>
      <c r="Q179" s="10" t="n">
        <f aca="false">O179*(1+$B$2)</f>
        <v>31.1892590124662</v>
      </c>
      <c r="R179" s="7" t="n">
        <f aca="false">IF(AND(F179&gt;=$B$4,F179&lt;=$B$5),MAX(0.7*F179-$B$3*H179,0.35*F179),0.35*F179)</f>
        <v>2.0965</v>
      </c>
      <c r="S179" s="8" t="n">
        <f aca="false">O179*$B$6</f>
        <v>668.341264552846</v>
      </c>
      <c r="T179" s="24" t="n">
        <f aca="false">S179*R179</f>
        <v>1401.17746113504</v>
      </c>
      <c r="U179" s="24" t="n">
        <f aca="false">P179*$B$6*R179</f>
        <v>840.706476681025</v>
      </c>
      <c r="V179" s="24" t="n">
        <f aca="false">Q179*$B$6*R179</f>
        <v>1961.64844558906</v>
      </c>
      <c r="W179" s="6" t="s">
        <v>1160</v>
      </c>
    </row>
    <row r="180" customFormat="false" ht="15" hidden="false" customHeight="false" outlineLevel="0" collapsed="false">
      <c r="A180" s="20" t="str">
        <f aca="false">Charts_Snapshot!A172</f>
        <v>Quick &amp; Easy (Cookbooks)|11</v>
      </c>
      <c r="B180" s="20" t="str">
        <f aca="false">Charts_Snapshot!B172</f>
        <v>Quick &amp; Easy (Cookbooks)</v>
      </c>
      <c r="C180" s="20" t="n">
        <f aca="false">Charts_Snapshot!D172</f>
        <v>11</v>
      </c>
      <c r="D180" s="20" t="str">
        <f aca="false">Charts_Snapshot!E172</f>
        <v>Milk Street: Cook What You Have: Make a Meal Out of Almost Anything (A Cookbook)</v>
      </c>
      <c r="E180" s="20" t="str">
        <f aca="false">Charts_Snapshot!H172</f>
        <v>Traditional/established press</v>
      </c>
      <c r="F180" s="21" t="n">
        <f aca="false">Charts_Snapshot!J172</f>
        <v>1.99</v>
      </c>
      <c r="G180" s="22" t="n">
        <f aca="false">Charts_Snapshot!M172</f>
        <v>9003</v>
      </c>
      <c r="H180" s="20" t="n">
        <f aca="false">Charts_Snapshot!P172</f>
        <v>435.3</v>
      </c>
      <c r="I180" s="20" t="str">
        <f aca="false">Charts_Snapshot!N172</f>
        <v>N</v>
      </c>
      <c r="J180" s="6" t="n">
        <f aca="false">MIN(MATCH(G180,BSR_Table!$A$2:$A$14,1),12)</f>
        <v>7</v>
      </c>
      <c r="K180" s="8" t="n">
        <f aca="false">INDEX(BSR_Table!$A$2:$A$14,J180)</f>
        <v>5000</v>
      </c>
      <c r="L180" s="8" t="n">
        <f aca="false">INDEX(BSR_Table!$A$2:$A$14,J180+1)</f>
        <v>10000</v>
      </c>
      <c r="M180" s="23" t="n">
        <f aca="false">INDEX(BSR_Table!$B$2:$B$14,J180)</f>
        <v>30</v>
      </c>
      <c r="N180" s="23" t="n">
        <f aca="false">INDEX(BSR_Table!$B$2:$B$14,J180+1)</f>
        <v>20</v>
      </c>
      <c r="O180" s="10" t="n">
        <f aca="false">EXP(LN(M180)+(LN(G180)-LN(K180))*(LN(N180)-LN(M180))/(LN(L180)-LN(K180)))</f>
        <v>21.2672699590552</v>
      </c>
      <c r="P180" s="10" t="n">
        <f aca="false">O180*(1-$B$2)</f>
        <v>12.7603619754331</v>
      </c>
      <c r="Q180" s="10" t="n">
        <f aca="false">O180*(1+$B$2)</f>
        <v>29.7741779426772</v>
      </c>
      <c r="R180" s="7" t="n">
        <f aca="false">IF(AND(F180&gt;=$B$4,F180&lt;=$B$5),MAX(0.7*F180-$B$3*H180,0.35*F180),0.35*F180)</f>
        <v>0.6965</v>
      </c>
      <c r="S180" s="8" t="n">
        <f aca="false">O180*$B$6</f>
        <v>638.018098771655</v>
      </c>
      <c r="T180" s="24" t="n">
        <f aca="false">S180*R180</f>
        <v>444.379605794457</v>
      </c>
      <c r="U180" s="24" t="n">
        <f aca="false">P180*$B$6*R180</f>
        <v>266.627763476674</v>
      </c>
      <c r="V180" s="24" t="n">
        <f aca="false">Q180*$B$6*R180</f>
        <v>622.13144811224</v>
      </c>
      <c r="W180" s="6" t="s">
        <v>1160</v>
      </c>
    </row>
    <row r="181" customFormat="false" ht="15" hidden="false" customHeight="false" outlineLevel="0" collapsed="false">
      <c r="A181" s="20" t="str">
        <f aca="false">Charts_Snapshot!A173</f>
        <v>Quick &amp; Easy (Cookbooks)|12</v>
      </c>
      <c r="B181" s="20" t="str">
        <f aca="false">Charts_Snapshot!B173</f>
        <v>Quick &amp; Easy (Cookbooks)</v>
      </c>
      <c r="C181" s="20" t="n">
        <f aca="false">Charts_Snapshot!D173</f>
        <v>12</v>
      </c>
      <c r="D181" s="20" t="str">
        <f aca="false">Charts_Snapshot!E173</f>
        <v>PlantYou: Scrappy Cooking: 140+ Plant-Based Zero-Waste Recipes That Are Good for You, Your Wallet, and the Planet</v>
      </c>
      <c r="E181" s="20" t="str">
        <f aca="false">Charts_Snapshot!H173</f>
        <v>Traditional/established press</v>
      </c>
      <c r="F181" s="21" t="n">
        <f aca="false">Charts_Snapshot!J173</f>
        <v>2.99</v>
      </c>
      <c r="G181" s="22" t="n">
        <f aca="false">Charts_Snapshot!M173</f>
        <v>10392</v>
      </c>
      <c r="H181" s="20" t="n">
        <f aca="false">Charts_Snapshot!P173</f>
        <v>245.2</v>
      </c>
      <c r="I181" s="20" t="str">
        <f aca="false">Charts_Snapshot!N173</f>
        <v>Y</v>
      </c>
      <c r="J181" s="6" t="n">
        <f aca="false">MIN(MATCH(G181,BSR_Table!$A$2:$A$14,1),12)</f>
        <v>8</v>
      </c>
      <c r="K181" s="8" t="n">
        <f aca="false">INDEX(BSR_Table!$A$2:$A$14,J181)</f>
        <v>10000</v>
      </c>
      <c r="L181" s="8" t="n">
        <f aca="false">INDEX(BSR_Table!$A$2:$A$14,J181+1)</f>
        <v>20000</v>
      </c>
      <c r="M181" s="23" t="n">
        <f aca="false">INDEX(BSR_Table!$B$2:$B$14,J181)</f>
        <v>20</v>
      </c>
      <c r="N181" s="23" t="n">
        <f aca="false">INDEX(BSR_Table!$B$2:$B$14,J181+1)</f>
        <v>10</v>
      </c>
      <c r="O181" s="10" t="n">
        <f aca="false">EXP(LN(M181)+(LN(G181)-LN(K181))*(LN(N181)-LN(M181))/(LN(L181)-LN(K181)))</f>
        <v>19.2455735180909</v>
      </c>
      <c r="P181" s="10" t="n">
        <f aca="false">O181*(1-$B$2)</f>
        <v>11.5473441108545</v>
      </c>
      <c r="Q181" s="10" t="n">
        <f aca="false">O181*(1+$B$2)</f>
        <v>26.9438029253272</v>
      </c>
      <c r="R181" s="7" t="n">
        <f aca="false">IF(AND(F181&gt;=$B$4,F181&lt;=$B$5),MAX(0.7*F181-$B$3*H181,0.35*F181),0.35*F181)</f>
        <v>1.0465</v>
      </c>
      <c r="S181" s="8" t="n">
        <f aca="false">O181*$B$6</f>
        <v>577.367205542726</v>
      </c>
      <c r="T181" s="24" t="n">
        <f aca="false">S181*R181</f>
        <v>604.214780600463</v>
      </c>
      <c r="U181" s="24" t="n">
        <f aca="false">P181*$B$6*R181</f>
        <v>362.528868360278</v>
      </c>
      <c r="V181" s="24" t="n">
        <f aca="false">Q181*$B$6*R181</f>
        <v>845.900692840648</v>
      </c>
      <c r="W181" s="6" t="s">
        <v>1160</v>
      </c>
    </row>
    <row r="182" customFormat="false" ht="15" hidden="false" customHeight="false" outlineLevel="0" collapsed="false">
      <c r="A182" s="20" t="str">
        <f aca="false">Charts_Snapshot!A174</f>
        <v>Quick &amp; Easy (Cookbooks)|13</v>
      </c>
      <c r="B182" s="20" t="str">
        <f aca="false">Charts_Snapshot!B174</f>
        <v>Quick &amp; Easy (Cookbooks)</v>
      </c>
      <c r="C182" s="20" t="n">
        <f aca="false">Charts_Snapshot!D174</f>
        <v>13</v>
      </c>
      <c r="D182" s="20" t="str">
        <f aca="false">Charts_Snapshot!E174</f>
        <v>Curry Guy One Pot: Over 150 Curries and Other Deliciously Spiced Dishes from Around the World</v>
      </c>
      <c r="E182" s="20" t="str">
        <f aca="false">Charts_Snapshot!H174</f>
        <v>Traditional/established press</v>
      </c>
      <c r="F182" s="21" t="n">
        <f aca="false">Charts_Snapshot!J174</f>
        <v>1.99</v>
      </c>
      <c r="G182" s="22" t="n">
        <f aca="false">Charts_Snapshot!M174</f>
        <v>10889</v>
      </c>
      <c r="H182" s="20" t="n">
        <f aca="false">Charts_Snapshot!P174</f>
        <v>176.2</v>
      </c>
      <c r="I182" s="20" t="str">
        <f aca="false">Charts_Snapshot!N174</f>
        <v>N</v>
      </c>
      <c r="J182" s="6" t="n">
        <f aca="false">MIN(MATCH(G182,BSR_Table!$A$2:$A$14,1),12)</f>
        <v>8</v>
      </c>
      <c r="K182" s="8" t="n">
        <f aca="false">INDEX(BSR_Table!$A$2:$A$14,J182)</f>
        <v>10000</v>
      </c>
      <c r="L182" s="8" t="n">
        <f aca="false">INDEX(BSR_Table!$A$2:$A$14,J182+1)</f>
        <v>20000</v>
      </c>
      <c r="M182" s="23" t="n">
        <f aca="false">INDEX(BSR_Table!$B$2:$B$14,J182)</f>
        <v>20</v>
      </c>
      <c r="N182" s="23" t="n">
        <f aca="false">INDEX(BSR_Table!$B$2:$B$14,J182+1)</f>
        <v>10</v>
      </c>
      <c r="O182" s="10" t="n">
        <f aca="false">EXP(LN(M182)+(LN(G182)-LN(K182))*(LN(N182)-LN(M182))/(LN(L182)-LN(K182)))</f>
        <v>18.3671595187804</v>
      </c>
      <c r="P182" s="10" t="n">
        <f aca="false">O182*(1-$B$2)</f>
        <v>11.0202957112683</v>
      </c>
      <c r="Q182" s="10" t="n">
        <f aca="false">O182*(1+$B$2)</f>
        <v>25.7140233262926</v>
      </c>
      <c r="R182" s="7" t="n">
        <f aca="false">IF(AND(F182&gt;=$B$4,F182&lt;=$B$5),MAX(0.7*F182-$B$3*H182,0.35*F182),0.35*F182)</f>
        <v>0.6965</v>
      </c>
      <c r="S182" s="8" t="n">
        <f aca="false">O182*$B$6</f>
        <v>551.014785563413</v>
      </c>
      <c r="T182" s="24" t="n">
        <f aca="false">S182*R182</f>
        <v>383.781798144917</v>
      </c>
      <c r="U182" s="24" t="n">
        <f aca="false">P182*$B$6*R182</f>
        <v>230.26907888695</v>
      </c>
      <c r="V182" s="24" t="n">
        <f aca="false">Q182*$B$6*R182</f>
        <v>537.294517402884</v>
      </c>
      <c r="W182" s="6" t="s">
        <v>1160</v>
      </c>
    </row>
    <row r="183" customFormat="false" ht="15" hidden="false" customHeight="false" outlineLevel="0" collapsed="false">
      <c r="A183" s="20" t="str">
        <f aca="false">Charts_Snapshot!A175</f>
        <v>Quick &amp; Easy (Cookbooks)|14</v>
      </c>
      <c r="B183" s="20" t="str">
        <f aca="false">Charts_Snapshot!B175</f>
        <v>Quick &amp; Easy (Cookbooks)</v>
      </c>
      <c r="C183" s="20" t="n">
        <f aca="false">Charts_Snapshot!D175</f>
        <v>14</v>
      </c>
      <c r="D183" s="20" t="str">
        <f aca="false">Charts_Snapshot!E175</f>
        <v>The Skillet: 200+ Simpler Ways to Make Just About Anything, From Perfect Meals to Breads, Desserts, and More</v>
      </c>
      <c r="E183" s="20" t="str">
        <f aca="false">Charts_Snapshot!H175</f>
        <v>Traditional/established press</v>
      </c>
      <c r="F183" s="21" t="n">
        <f aca="false">Charts_Snapshot!J175</f>
        <v>5.99</v>
      </c>
      <c r="G183" s="22" t="n">
        <f aca="false">Charts_Snapshot!M175</f>
        <v>10958</v>
      </c>
      <c r="H183" s="20" t="n">
        <f aca="false">Charts_Snapshot!P175</f>
        <v>198.2</v>
      </c>
      <c r="I183" s="20" t="str">
        <f aca="false">Charts_Snapshot!N175</f>
        <v>N</v>
      </c>
      <c r="J183" s="6" t="n">
        <f aca="false">MIN(MATCH(G183,BSR_Table!$A$2:$A$14,1),12)</f>
        <v>8</v>
      </c>
      <c r="K183" s="8" t="n">
        <f aca="false">INDEX(BSR_Table!$A$2:$A$14,J183)</f>
        <v>10000</v>
      </c>
      <c r="L183" s="8" t="n">
        <f aca="false">INDEX(BSR_Table!$A$2:$A$14,J183+1)</f>
        <v>20000</v>
      </c>
      <c r="M183" s="23" t="n">
        <f aca="false">INDEX(BSR_Table!$B$2:$B$14,J183)</f>
        <v>20</v>
      </c>
      <c r="N183" s="23" t="n">
        <f aca="false">INDEX(BSR_Table!$B$2:$B$14,J183+1)</f>
        <v>10</v>
      </c>
      <c r="O183" s="10" t="n">
        <f aca="false">EXP(LN(M183)+(LN(G183)-LN(K183))*(LN(N183)-LN(M183))/(LN(L183)-LN(K183)))</f>
        <v>18.2515057492243</v>
      </c>
      <c r="P183" s="10" t="n">
        <f aca="false">O183*(1-$B$2)</f>
        <v>10.9509034495346</v>
      </c>
      <c r="Q183" s="10" t="n">
        <f aca="false">O183*(1+$B$2)</f>
        <v>25.5521080489141</v>
      </c>
      <c r="R183" s="7" t="n">
        <f aca="false">IF(AND(F183&gt;=$B$4,F183&lt;=$B$5),MAX(0.7*F183-$B$3*H183,0.35*F183),0.35*F183)</f>
        <v>2.0965</v>
      </c>
      <c r="S183" s="8" t="n">
        <f aca="false">O183*$B$6</f>
        <v>547.54517247673</v>
      </c>
      <c r="T183" s="24" t="n">
        <f aca="false">S183*R183</f>
        <v>1147.92845409746</v>
      </c>
      <c r="U183" s="24" t="n">
        <f aca="false">P183*$B$6*R183</f>
        <v>688.757072458478</v>
      </c>
      <c r="V183" s="24" t="n">
        <f aca="false">Q183*$B$6*R183</f>
        <v>1607.09983573645</v>
      </c>
      <c r="W183" s="6" t="s">
        <v>1160</v>
      </c>
    </row>
    <row r="184" customFormat="false" ht="15" hidden="false" customHeight="false" outlineLevel="0" collapsed="false">
      <c r="A184" s="20" t="str">
        <f aca="false">Charts_Snapshot!A176</f>
        <v>Quick &amp; Easy (Cookbooks)|15</v>
      </c>
      <c r="B184" s="20" t="str">
        <f aca="false">Charts_Snapshot!B176</f>
        <v>Quick &amp; Easy (Cookbooks)</v>
      </c>
      <c r="C184" s="20" t="n">
        <f aca="false">Charts_Snapshot!D176</f>
        <v>15</v>
      </c>
      <c r="D184" s="20" t="str">
        <f aca="false">Charts_Snapshot!E176</f>
        <v>Milk Street Simple</v>
      </c>
      <c r="E184" s="20" t="str">
        <f aca="false">Charts_Snapshot!H176</f>
        <v>Traditional/established press</v>
      </c>
      <c r="F184" s="21" t="n">
        <f aca="false">Charts_Snapshot!J176</f>
        <v>4.99</v>
      </c>
      <c r="G184" s="22" t="n">
        <f aca="false">Charts_Snapshot!M176</f>
        <v>11011</v>
      </c>
      <c r="H184" s="20" t="n">
        <f aca="false">Charts_Snapshot!P176</f>
        <v>72.5</v>
      </c>
      <c r="I184" s="20" t="str">
        <f aca="false">Charts_Snapshot!N176</f>
        <v>N</v>
      </c>
      <c r="J184" s="6" t="n">
        <f aca="false">MIN(MATCH(G184,BSR_Table!$A$2:$A$14,1),12)</f>
        <v>8</v>
      </c>
      <c r="K184" s="8" t="n">
        <f aca="false">INDEX(BSR_Table!$A$2:$A$14,J184)</f>
        <v>10000</v>
      </c>
      <c r="L184" s="8" t="n">
        <f aca="false">INDEX(BSR_Table!$A$2:$A$14,J184+1)</f>
        <v>20000</v>
      </c>
      <c r="M184" s="23" t="n">
        <f aca="false">INDEX(BSR_Table!$B$2:$B$14,J184)</f>
        <v>20</v>
      </c>
      <c r="N184" s="23" t="n">
        <f aca="false">INDEX(BSR_Table!$B$2:$B$14,J184+1)</f>
        <v>10</v>
      </c>
      <c r="O184" s="10" t="n">
        <f aca="false">EXP(LN(M184)+(LN(G184)-LN(K184))*(LN(N184)-LN(M184))/(LN(L184)-LN(K184)))</f>
        <v>18.1636545272909</v>
      </c>
      <c r="P184" s="10" t="n">
        <f aca="false">O184*(1-$B$2)</f>
        <v>10.8981927163745</v>
      </c>
      <c r="Q184" s="10" t="n">
        <f aca="false">O184*(1+$B$2)</f>
        <v>25.4291163382073</v>
      </c>
      <c r="R184" s="7" t="n">
        <f aca="false">IF(AND(F184&gt;=$B$4,F184&lt;=$B$5),MAX(0.7*F184-$B$3*H184,0.35*F184),0.35*F184)</f>
        <v>1.7465</v>
      </c>
      <c r="S184" s="8" t="n">
        <f aca="false">O184*$B$6</f>
        <v>544.909635818727</v>
      </c>
      <c r="T184" s="24" t="n">
        <f aca="false">S184*R184</f>
        <v>951.684678957407</v>
      </c>
      <c r="U184" s="24" t="n">
        <f aca="false">P184*$B$6*R184</f>
        <v>571.010807374444</v>
      </c>
      <c r="V184" s="24" t="n">
        <f aca="false">Q184*$B$6*R184</f>
        <v>1332.35855054037</v>
      </c>
      <c r="W184" s="6" t="s">
        <v>1160</v>
      </c>
    </row>
    <row r="185" customFormat="false" ht="15" hidden="false" customHeight="false" outlineLevel="0" collapsed="false">
      <c r="A185" s="20" t="str">
        <f aca="false">Charts_Snapshot!A177</f>
        <v>Quick &amp; Easy (Cookbooks)|16</v>
      </c>
      <c r="B185" s="20" t="str">
        <f aca="false">Charts_Snapshot!B177</f>
        <v>Quick &amp; Easy (Cookbooks)</v>
      </c>
      <c r="C185" s="20" t="n">
        <f aca="false">Charts_Snapshot!D177</f>
        <v>16</v>
      </c>
      <c r="D185" s="20" t="str">
        <f aca="false">Charts_Snapshot!E177</f>
        <v>Every Salad Ever: From Grains to Greens and Pasta to Beans Plus Every Salad in Betweens</v>
      </c>
      <c r="E185" s="20" t="str">
        <f aca="false">Charts_Snapshot!H177</f>
        <v>Traditional/established press</v>
      </c>
      <c r="F185" s="21" t="n">
        <f aca="false">Charts_Snapshot!J177</f>
        <v>14.99</v>
      </c>
      <c r="G185" s="22" t="n">
        <f aca="false">Charts_Snapshot!M177</f>
        <v>12143</v>
      </c>
      <c r="H185" s="20" t="n">
        <f aca="false">Charts_Snapshot!P177</f>
        <v>236.3</v>
      </c>
      <c r="I185" s="20" t="str">
        <f aca="false">Charts_Snapshot!N177</f>
        <v>N</v>
      </c>
      <c r="J185" s="6" t="n">
        <f aca="false">MIN(MATCH(G185,BSR_Table!$A$2:$A$14,1),12)</f>
        <v>8</v>
      </c>
      <c r="K185" s="8" t="n">
        <f aca="false">INDEX(BSR_Table!$A$2:$A$14,J185)</f>
        <v>10000</v>
      </c>
      <c r="L185" s="8" t="n">
        <f aca="false">INDEX(BSR_Table!$A$2:$A$14,J185+1)</f>
        <v>20000</v>
      </c>
      <c r="M185" s="23" t="n">
        <f aca="false">INDEX(BSR_Table!$B$2:$B$14,J185)</f>
        <v>20</v>
      </c>
      <c r="N185" s="23" t="n">
        <f aca="false">INDEX(BSR_Table!$B$2:$B$14,J185+1)</f>
        <v>10</v>
      </c>
      <c r="O185" s="10" t="n">
        <f aca="false">EXP(LN(M185)+(LN(G185)-LN(K185))*(LN(N185)-LN(M185))/(LN(L185)-LN(K185)))</f>
        <v>16.4703944659475</v>
      </c>
      <c r="P185" s="10" t="n">
        <f aca="false">O185*(1-$B$2)</f>
        <v>9.88223667956848</v>
      </c>
      <c r="Q185" s="10" t="n">
        <f aca="false">O185*(1+$B$2)</f>
        <v>23.0585522523265</v>
      </c>
      <c r="R185" s="7" t="n">
        <f aca="false">IF(AND(F185&gt;=$B$4,F185&lt;=$B$5),MAX(0.7*F185-$B$3*H185,0.35*F185),0.35*F185)</f>
        <v>5.2465</v>
      </c>
      <c r="S185" s="8" t="n">
        <f aca="false">O185*$B$6</f>
        <v>494.111833978424</v>
      </c>
      <c r="T185" s="24" t="n">
        <f aca="false">S185*R185</f>
        <v>2592.3577369678</v>
      </c>
      <c r="U185" s="24" t="n">
        <f aca="false">P185*$B$6*R185</f>
        <v>1555.41464218068</v>
      </c>
      <c r="V185" s="24" t="n">
        <f aca="false">Q185*$B$6*R185</f>
        <v>3629.30083175492</v>
      </c>
      <c r="W185" s="6" t="s">
        <v>1160</v>
      </c>
    </row>
    <row r="186" customFormat="false" ht="15" hidden="false" customHeight="false" outlineLevel="0" collapsed="false">
      <c r="A186" s="20" t="str">
        <f aca="false">Charts_Snapshot!A178</f>
        <v>Quick &amp; Easy (Cookbooks)|17</v>
      </c>
      <c r="B186" s="20" t="str">
        <f aca="false">Charts_Snapshot!B178</f>
        <v>Quick &amp; Easy (Cookbooks)</v>
      </c>
      <c r="C186" s="20" t="n">
        <f aca="false">Charts_Snapshot!D178</f>
        <v>17</v>
      </c>
      <c r="D186" s="20" t="str">
        <f aca="false">Charts_Snapshot!E178</f>
        <v>Meals in a Jar: Quick and Easy, Just-Add-Water, Homemade Recipes</v>
      </c>
      <c r="E186" s="20" t="str">
        <f aca="false">Charts_Snapshot!H178</f>
        <v>Traditional/established press</v>
      </c>
      <c r="F186" s="21" t="n">
        <f aca="false">Charts_Snapshot!J178</f>
        <v>3.99</v>
      </c>
      <c r="G186" s="22" t="n">
        <f aca="false">Charts_Snapshot!M178</f>
        <v>12344</v>
      </c>
      <c r="H186" s="20" t="n">
        <f aca="false">Charts_Snapshot!P178</f>
        <v>4.7</v>
      </c>
      <c r="I186" s="20" t="str">
        <f aca="false">Charts_Snapshot!N178</f>
        <v>Y</v>
      </c>
      <c r="J186" s="6" t="n">
        <f aca="false">MIN(MATCH(G186,BSR_Table!$A$2:$A$14,1),12)</f>
        <v>8</v>
      </c>
      <c r="K186" s="8" t="n">
        <f aca="false">INDEX(BSR_Table!$A$2:$A$14,J186)</f>
        <v>10000</v>
      </c>
      <c r="L186" s="8" t="n">
        <f aca="false">INDEX(BSR_Table!$A$2:$A$14,J186+1)</f>
        <v>20000</v>
      </c>
      <c r="M186" s="23" t="n">
        <f aca="false">INDEX(BSR_Table!$B$2:$B$14,J186)</f>
        <v>20</v>
      </c>
      <c r="N186" s="23" t="n">
        <f aca="false">INDEX(BSR_Table!$B$2:$B$14,J186+1)</f>
        <v>10</v>
      </c>
      <c r="O186" s="10" t="n">
        <f aca="false">EXP(LN(M186)+(LN(G186)-LN(K186))*(LN(N186)-LN(M186))/(LN(L186)-LN(K186)))</f>
        <v>16.202203499676</v>
      </c>
      <c r="P186" s="10" t="n">
        <f aca="false">O186*(1-$B$2)</f>
        <v>9.72132209980559</v>
      </c>
      <c r="Q186" s="10" t="n">
        <f aca="false">O186*(1+$B$2)</f>
        <v>22.6830848995464</v>
      </c>
      <c r="R186" s="7" t="n">
        <f aca="false">IF(AND(F186&gt;=$B$4,F186&lt;=$B$5),MAX(0.7*F186-$B$3*H186,0.35*F186),0.35*F186)</f>
        <v>2.088</v>
      </c>
      <c r="S186" s="8" t="n">
        <f aca="false">O186*$B$6</f>
        <v>486.066104990279</v>
      </c>
      <c r="T186" s="24" t="n">
        <f aca="false">S186*R186</f>
        <v>1014.9060272197</v>
      </c>
      <c r="U186" s="24" t="n">
        <f aca="false">P186*$B$6*R186</f>
        <v>608.943616331822</v>
      </c>
      <c r="V186" s="24" t="n">
        <f aca="false">Q186*$B$6*R186</f>
        <v>1420.86843810758</v>
      </c>
      <c r="W186" s="6" t="s">
        <v>1160</v>
      </c>
    </row>
    <row r="187" customFormat="false" ht="15" hidden="false" customHeight="false" outlineLevel="0" collapsed="false">
      <c r="A187" s="20" t="str">
        <f aca="false">Charts_Snapshot!A179</f>
        <v>Quick &amp; Easy (Cookbooks)|18</v>
      </c>
      <c r="B187" s="20" t="str">
        <f aca="false">Charts_Snapshot!B179</f>
        <v>Quick &amp; Easy (Cookbooks)</v>
      </c>
      <c r="C187" s="20" t="n">
        <f aca="false">Charts_Snapshot!D179</f>
        <v>18</v>
      </c>
      <c r="D187" s="20" t="str">
        <f aca="false">Charts_Snapshot!E179</f>
        <v>Cheap and Wicked Good! 4-Ingredient Budget-Friendly Recipes for Quick and Easy Everyday Meals (Simple and Easy Budget Meals)</v>
      </c>
      <c r="E187" s="20" t="str">
        <f aca="false">Charts_Snapshot!H179</f>
        <v>Indie imprint (inferred)</v>
      </c>
      <c r="F187" s="21" t="n">
        <f aca="false">Charts_Snapshot!J179</f>
        <v>0.99</v>
      </c>
      <c r="G187" s="22" t="n">
        <f aca="false">Charts_Snapshot!M179</f>
        <v>12398</v>
      </c>
      <c r="H187" s="20" t="n">
        <f aca="false">Charts_Snapshot!P179</f>
        <v>3.7</v>
      </c>
      <c r="I187" s="20" t="str">
        <f aca="false">Charts_Snapshot!N179</f>
        <v>Y</v>
      </c>
      <c r="J187" s="6" t="n">
        <f aca="false">MIN(MATCH(G187,BSR_Table!$A$2:$A$14,1),12)</f>
        <v>8</v>
      </c>
      <c r="K187" s="8" t="n">
        <f aca="false">INDEX(BSR_Table!$A$2:$A$14,J187)</f>
        <v>10000</v>
      </c>
      <c r="L187" s="8" t="n">
        <f aca="false">INDEX(BSR_Table!$A$2:$A$14,J187+1)</f>
        <v>20000</v>
      </c>
      <c r="M187" s="23" t="n">
        <f aca="false">INDEX(BSR_Table!$B$2:$B$14,J187)</f>
        <v>20</v>
      </c>
      <c r="N187" s="23" t="n">
        <f aca="false">INDEX(BSR_Table!$B$2:$B$14,J187+1)</f>
        <v>10</v>
      </c>
      <c r="O187" s="10" t="n">
        <f aca="false">EXP(LN(M187)+(LN(G187)-LN(K187))*(LN(N187)-LN(M187))/(LN(L187)-LN(K187)))</f>
        <v>16.1316341345378</v>
      </c>
      <c r="P187" s="10" t="n">
        <f aca="false">O187*(1-$B$2)</f>
        <v>9.67898048072269</v>
      </c>
      <c r="Q187" s="10" t="n">
        <f aca="false">O187*(1+$B$2)</f>
        <v>22.584287788353</v>
      </c>
      <c r="R187" s="7" t="n">
        <f aca="false">IF(AND(F187&gt;=$B$4,F187&lt;=$B$5),MAX(0.7*F187-$B$3*H187,0.35*F187),0.35*F187)</f>
        <v>0.3465</v>
      </c>
      <c r="S187" s="8" t="n">
        <f aca="false">O187*$B$6</f>
        <v>483.949024036135</v>
      </c>
      <c r="T187" s="24" t="n">
        <f aca="false">S187*R187</f>
        <v>167.688336828521</v>
      </c>
      <c r="U187" s="24" t="n">
        <f aca="false">P187*$B$6*R187</f>
        <v>100.613002097112</v>
      </c>
      <c r="V187" s="24" t="n">
        <f aca="false">Q187*$B$6*R187</f>
        <v>234.763671559929</v>
      </c>
      <c r="W187" s="6" t="s">
        <v>1160</v>
      </c>
    </row>
    <row r="188" customFormat="false" ht="15" hidden="false" customHeight="false" outlineLevel="0" collapsed="false">
      <c r="A188" s="20" t="str">
        <f aca="false">Charts_Snapshot!A180</f>
        <v>Quick &amp; Easy (Cookbooks)|19</v>
      </c>
      <c r="B188" s="20" t="str">
        <f aca="false">Charts_Snapshot!B180</f>
        <v>Quick &amp; Easy (Cookbooks)</v>
      </c>
      <c r="C188" s="20" t="n">
        <f aca="false">Charts_Snapshot!D180</f>
        <v>19</v>
      </c>
      <c r="D188" s="20" t="str">
        <f aca="false">Charts_Snapshot!E180</f>
        <v>Simple Dinners Every Day: Simplify your cooking with 80+ fast, low-cost dinner ideas</v>
      </c>
      <c r="E188" s="20" t="str">
        <f aca="false">Charts_Snapshot!H180</f>
        <v>Traditional/established press</v>
      </c>
      <c r="F188" s="21" t="n">
        <f aca="false">Charts_Snapshot!J180</f>
        <v>1.99</v>
      </c>
      <c r="G188" s="22" t="n">
        <f aca="false">Charts_Snapshot!M180</f>
        <v>12955</v>
      </c>
      <c r="H188" s="20" t="n">
        <f aca="false">Charts_Snapshot!P180</f>
        <v>66.8</v>
      </c>
      <c r="I188" s="20" t="str">
        <f aca="false">Charts_Snapshot!N180</f>
        <v>Y</v>
      </c>
      <c r="J188" s="6" t="n">
        <f aca="false">MIN(MATCH(G188,BSR_Table!$A$2:$A$14,1),12)</f>
        <v>8</v>
      </c>
      <c r="K188" s="8" t="n">
        <f aca="false">INDEX(BSR_Table!$A$2:$A$14,J188)</f>
        <v>10000</v>
      </c>
      <c r="L188" s="8" t="n">
        <f aca="false">INDEX(BSR_Table!$A$2:$A$14,J188+1)</f>
        <v>20000</v>
      </c>
      <c r="M188" s="23" t="n">
        <f aca="false">INDEX(BSR_Table!$B$2:$B$14,J188)</f>
        <v>20</v>
      </c>
      <c r="N188" s="23" t="n">
        <f aca="false">INDEX(BSR_Table!$B$2:$B$14,J188+1)</f>
        <v>10</v>
      </c>
      <c r="O188" s="10" t="n">
        <f aca="false">EXP(LN(M188)+(LN(G188)-LN(K188))*(LN(N188)-LN(M188))/(LN(L188)-LN(K188)))</f>
        <v>15.4380548050946</v>
      </c>
      <c r="P188" s="10" t="n">
        <f aca="false">O188*(1-$B$2)</f>
        <v>9.26283288305675</v>
      </c>
      <c r="Q188" s="10" t="n">
        <f aca="false">O188*(1+$B$2)</f>
        <v>21.6132767271324</v>
      </c>
      <c r="R188" s="7" t="n">
        <f aca="false">IF(AND(F188&gt;=$B$4,F188&lt;=$B$5),MAX(0.7*F188-$B$3*H188,0.35*F188),0.35*F188)</f>
        <v>0.6965</v>
      </c>
      <c r="S188" s="8" t="n">
        <f aca="false">O188*$B$6</f>
        <v>463.141644152837</v>
      </c>
      <c r="T188" s="24" t="n">
        <f aca="false">S188*R188</f>
        <v>322.578155152451</v>
      </c>
      <c r="U188" s="24" t="n">
        <f aca="false">P188*$B$6*R188</f>
        <v>193.546893091471</v>
      </c>
      <c r="V188" s="24" t="n">
        <f aca="false">Q188*$B$6*R188</f>
        <v>451.609417213432</v>
      </c>
      <c r="W188" s="6" t="s">
        <v>1160</v>
      </c>
    </row>
    <row r="189" customFormat="false" ht="15" hidden="false" customHeight="false" outlineLevel="0" collapsed="false">
      <c r="A189" s="20" t="str">
        <f aca="false">Charts_Snapshot!A181</f>
        <v>Quick &amp; Easy (Cookbooks)|20</v>
      </c>
      <c r="B189" s="20" t="str">
        <f aca="false">Charts_Snapshot!B181</f>
        <v>Quick &amp; Easy (Cookbooks)</v>
      </c>
      <c r="C189" s="20" t="n">
        <f aca="false">Charts_Snapshot!D181</f>
        <v>20</v>
      </c>
      <c r="D189" s="20" t="str">
        <f aca="false">Charts_Snapshot!E181</f>
        <v>Cooking for Jeffrey: A Barefoot Contessa Cookbook</v>
      </c>
      <c r="E189" s="20" t="str">
        <f aca="false">Charts_Snapshot!H181</f>
        <v>Traditional/established press</v>
      </c>
      <c r="F189" s="21" t="n">
        <f aca="false">Charts_Snapshot!J181</f>
        <v>7.99</v>
      </c>
      <c r="G189" s="22" t="n">
        <f aca="false">Charts_Snapshot!M181</f>
        <v>12930</v>
      </c>
      <c r="H189" s="20" t="n">
        <f aca="false">Charts_Snapshot!P181</f>
        <v>194.8</v>
      </c>
      <c r="I189" s="20" t="str">
        <f aca="false">Charts_Snapshot!N181</f>
        <v>N</v>
      </c>
      <c r="J189" s="6" t="n">
        <f aca="false">MIN(MATCH(G189,BSR_Table!$A$2:$A$14,1),12)</f>
        <v>8</v>
      </c>
      <c r="K189" s="8" t="n">
        <f aca="false">INDEX(BSR_Table!$A$2:$A$14,J189)</f>
        <v>10000</v>
      </c>
      <c r="L189" s="8" t="n">
        <f aca="false">INDEX(BSR_Table!$A$2:$A$14,J189+1)</f>
        <v>20000</v>
      </c>
      <c r="M189" s="23" t="n">
        <f aca="false">INDEX(BSR_Table!$B$2:$B$14,J189)</f>
        <v>20</v>
      </c>
      <c r="N189" s="23" t="n">
        <f aca="false">INDEX(BSR_Table!$B$2:$B$14,J189+1)</f>
        <v>10</v>
      </c>
      <c r="O189" s="10" t="n">
        <f aca="false">EXP(LN(M189)+(LN(G189)-LN(K189))*(LN(N189)-LN(M189))/(LN(L189)-LN(K189)))</f>
        <v>15.4679040989946</v>
      </c>
      <c r="P189" s="10" t="n">
        <f aca="false">O189*(1-$B$2)</f>
        <v>9.28074245939676</v>
      </c>
      <c r="Q189" s="10" t="n">
        <f aca="false">O189*(1+$B$2)</f>
        <v>21.6550657385924</v>
      </c>
      <c r="R189" s="7" t="n">
        <f aca="false">IF(AND(F189&gt;=$B$4,F189&lt;=$B$5),MAX(0.7*F189-$B$3*H189,0.35*F189),0.35*F189)</f>
        <v>2.7965</v>
      </c>
      <c r="S189" s="8" t="n">
        <f aca="false">O189*$B$6</f>
        <v>464.037122969838</v>
      </c>
      <c r="T189" s="24" t="n">
        <f aca="false">S189*R189</f>
        <v>1297.67981438515</v>
      </c>
      <c r="U189" s="24" t="n">
        <f aca="false">P189*$B$6*R189</f>
        <v>778.607888631091</v>
      </c>
      <c r="V189" s="24" t="n">
        <f aca="false">Q189*$B$6*R189</f>
        <v>1816.75174013921</v>
      </c>
      <c r="W189" s="6" t="s">
        <v>1160</v>
      </c>
    </row>
    <row r="190" customFormat="false" ht="15" hidden="false" customHeight="false" outlineLevel="0" collapsed="false">
      <c r="A190" s="20" t="str">
        <f aca="false">Charts_Snapshot!A182</f>
        <v>One-Hour Self-Help Short Reads|1</v>
      </c>
      <c r="B190" s="20" t="str">
        <f aca="false">Charts_Snapshot!B182</f>
        <v>One-Hour Self-Help Short Reads</v>
      </c>
      <c r="C190" s="20" t="n">
        <f aca="false">Charts_Snapshot!D182</f>
        <v>1</v>
      </c>
      <c r="D190" s="20" t="str">
        <f aca="false">Charts_Snapshot!E182</f>
        <v>As a man Thinketh</v>
      </c>
      <c r="E190" s="20" t="str">
        <f aca="false">Charts_Snapshot!H182</f>
        <v>Public-domain reprint</v>
      </c>
      <c r="F190" s="21" t="n">
        <f aca="false">Charts_Snapshot!J182</f>
        <v>0.99</v>
      </c>
      <c r="G190" s="22" t="n">
        <f aca="false">Charts_Snapshot!M182</f>
        <v>25444</v>
      </c>
      <c r="H190" s="20" t="n">
        <f aca="false">Charts_Snapshot!P182</f>
        <v>0.28</v>
      </c>
      <c r="I190" s="20" t="str">
        <f aca="false">Charts_Snapshot!N182</f>
        <v>N</v>
      </c>
      <c r="J190" s="6" t="n">
        <f aca="false">MIN(MATCH(G190,BSR_Table!$A$2:$A$14,1),12)</f>
        <v>9</v>
      </c>
      <c r="K190" s="8" t="n">
        <f aca="false">INDEX(BSR_Table!$A$2:$A$14,J190)</f>
        <v>20000</v>
      </c>
      <c r="L190" s="8" t="n">
        <f aca="false">INDEX(BSR_Table!$A$2:$A$14,J190+1)</f>
        <v>50000</v>
      </c>
      <c r="M190" s="23" t="n">
        <f aca="false">INDEX(BSR_Table!$B$2:$B$14,J190)</f>
        <v>10</v>
      </c>
      <c r="N190" s="23" t="n">
        <f aca="false">INDEX(BSR_Table!$B$2:$B$14,J190+1)</f>
        <v>4</v>
      </c>
      <c r="O190" s="10" t="n">
        <f aca="false">EXP(LN(M190)+(LN(G190)-LN(K190))*(LN(N190)-LN(M190))/(LN(L190)-LN(K190)))</f>
        <v>7.86039930828486</v>
      </c>
      <c r="P190" s="10" t="n">
        <f aca="false">O190*(1-$B$2)</f>
        <v>4.71623958497092</v>
      </c>
      <c r="Q190" s="10" t="n">
        <f aca="false">O190*(1+$B$2)</f>
        <v>11.0045590315988</v>
      </c>
      <c r="R190" s="7" t="n">
        <f aca="false">IF(AND(F190&gt;=$B$4,F190&lt;=$B$5),MAX(0.7*F190-$B$3*H190,0.35*F190),0.35*F190)</f>
        <v>0.3465</v>
      </c>
      <c r="S190" s="8" t="n">
        <f aca="false">O190*$B$6</f>
        <v>235.811979248546</v>
      </c>
      <c r="T190" s="24" t="n">
        <f aca="false">S190*R190</f>
        <v>81.7088508096211</v>
      </c>
      <c r="U190" s="24" t="n">
        <f aca="false">P190*$B$6*R190</f>
        <v>49.0253104857727</v>
      </c>
      <c r="V190" s="24" t="n">
        <f aca="false">Q190*$B$6*R190</f>
        <v>114.39239113347</v>
      </c>
      <c r="W190" s="6" t="s">
        <v>1160</v>
      </c>
    </row>
    <row r="191" customFormat="false" ht="15" hidden="false" customHeight="false" outlineLevel="0" collapsed="false">
      <c r="A191" s="20" t="str">
        <f aca="false">Charts_Snapshot!A183</f>
        <v>One-Hour Self-Help Short Reads|2</v>
      </c>
      <c r="B191" s="20" t="str">
        <f aca="false">Charts_Snapshot!B183</f>
        <v>One-Hour Self-Help Short Reads</v>
      </c>
      <c r="C191" s="20" t="n">
        <f aca="false">Charts_Snapshot!D183</f>
        <v>2</v>
      </c>
      <c r="D191" s="20" t="str">
        <f aca="false">Charts_Snapshot!E183</f>
        <v>F*CK ’EM: A ZERO-TOLERANCE GUIDE TO TOXIC PEOPLE</v>
      </c>
      <c r="E191" s="20" t="str">
        <f aca="false">Charts_Snapshot!H183</f>
        <v>Indie (no publisher listed)</v>
      </c>
      <c r="F191" s="21" t="n">
        <f aca="false">Charts_Snapshot!J183</f>
        <v>9.99</v>
      </c>
      <c r="G191" s="22" t="n">
        <f aca="false">Charts_Snapshot!M183</f>
        <v>37117</v>
      </c>
      <c r="H191" s="20" t="n">
        <f aca="false">Charts_Snapshot!P183</f>
        <v>1.7</v>
      </c>
      <c r="I191" s="20" t="str">
        <f aca="false">Charts_Snapshot!N183</f>
        <v>Y</v>
      </c>
      <c r="J191" s="6" t="n">
        <f aca="false">MIN(MATCH(G191,BSR_Table!$A$2:$A$14,1),12)</f>
        <v>9</v>
      </c>
      <c r="K191" s="8" t="n">
        <f aca="false">INDEX(BSR_Table!$A$2:$A$14,J191)</f>
        <v>20000</v>
      </c>
      <c r="L191" s="8" t="n">
        <f aca="false">INDEX(BSR_Table!$A$2:$A$14,J191+1)</f>
        <v>50000</v>
      </c>
      <c r="M191" s="23" t="n">
        <f aca="false">INDEX(BSR_Table!$B$2:$B$14,J191)</f>
        <v>10</v>
      </c>
      <c r="N191" s="23" t="n">
        <f aca="false">INDEX(BSR_Table!$B$2:$B$14,J191+1)</f>
        <v>4</v>
      </c>
      <c r="O191" s="10" t="n">
        <f aca="false">EXP(LN(M191)+(LN(G191)-LN(K191))*(LN(N191)-LN(M191))/(LN(L191)-LN(K191)))</f>
        <v>5.38836651669046</v>
      </c>
      <c r="P191" s="10" t="n">
        <f aca="false">O191*(1-$B$2)</f>
        <v>3.23301991001428</v>
      </c>
      <c r="Q191" s="10" t="n">
        <f aca="false">O191*(1+$B$2)</f>
        <v>7.54371312336664</v>
      </c>
      <c r="R191" s="7" t="n">
        <f aca="false">IF(AND(F191&gt;=$B$4,F191&lt;=$B$5),MAX(0.7*F191-$B$3*H191,0.35*F191),0.35*F191)</f>
        <v>6.738</v>
      </c>
      <c r="S191" s="8" t="n">
        <f aca="false">O191*$B$6</f>
        <v>161.650995500714</v>
      </c>
      <c r="T191" s="24" t="n">
        <f aca="false">S191*R191</f>
        <v>1089.20440768381</v>
      </c>
      <c r="U191" s="24" t="n">
        <f aca="false">P191*$B$6*R191</f>
        <v>653.522644610286</v>
      </c>
      <c r="V191" s="24" t="n">
        <f aca="false">Q191*$B$6*R191</f>
        <v>1524.88617075733</v>
      </c>
      <c r="W191" s="6" t="s">
        <v>1160</v>
      </c>
    </row>
    <row r="192" customFormat="false" ht="15" hidden="false" customHeight="false" outlineLevel="0" collapsed="false">
      <c r="A192" s="20" t="str">
        <f aca="false">Charts_Snapshot!A184</f>
        <v>One-Hour Self-Help Short Reads|3</v>
      </c>
      <c r="B192" s="20" t="str">
        <f aca="false">Charts_Snapshot!B184</f>
        <v>One-Hour Self-Help Short Reads</v>
      </c>
      <c r="C192" s="20" t="n">
        <f aca="false">Charts_Snapshot!D184</f>
        <v>3</v>
      </c>
      <c r="D192" s="20" t="str">
        <f aca="false">Charts_Snapshot!E184</f>
        <v>The Oracle of Small Things: A Solo Journaling Game of Attention and Preservation (Oracle Games)</v>
      </c>
      <c r="E192" s="20" t="str">
        <f aca="false">Charts_Snapshot!H184</f>
        <v>Indie (no publisher listed)</v>
      </c>
      <c r="F192" s="21" t="n">
        <f aca="false">Charts_Snapshot!J184</f>
        <v>3.99</v>
      </c>
      <c r="G192" s="22" t="n">
        <f aca="false">Charts_Snapshot!M184</f>
        <v>66176</v>
      </c>
      <c r="H192" s="20" t="n">
        <f aca="false">Charts_Snapshot!P184</f>
        <v>1.9</v>
      </c>
      <c r="I192" s="20" t="str">
        <f aca="false">Charts_Snapshot!N184</f>
        <v>Y</v>
      </c>
      <c r="J192" s="6" t="n">
        <f aca="false">MIN(MATCH(G192,BSR_Table!$A$2:$A$14,1),12)</f>
        <v>10</v>
      </c>
      <c r="K192" s="8" t="n">
        <f aca="false">INDEX(BSR_Table!$A$2:$A$14,J192)</f>
        <v>50000</v>
      </c>
      <c r="L192" s="8" t="n">
        <f aca="false">INDEX(BSR_Table!$A$2:$A$14,J192+1)</f>
        <v>100000</v>
      </c>
      <c r="M192" s="23" t="n">
        <f aca="false">INDEX(BSR_Table!$B$2:$B$14,J192)</f>
        <v>4</v>
      </c>
      <c r="N192" s="23" t="n">
        <f aca="false">INDEX(BSR_Table!$B$2:$B$14,J192+1)</f>
        <v>1.5</v>
      </c>
      <c r="O192" s="10" t="n">
        <f aca="false">EXP(LN(M192)+(LN(G192)-LN(K192))*(LN(N192)-LN(M192))/(LN(L192)-LN(K192)))</f>
        <v>2.69033744996548</v>
      </c>
      <c r="P192" s="10" t="n">
        <f aca="false">O192*(1-$B$2)</f>
        <v>1.61420246997929</v>
      </c>
      <c r="Q192" s="10" t="n">
        <f aca="false">O192*(1+$B$2)</f>
        <v>3.76647242995167</v>
      </c>
      <c r="R192" s="7" t="n">
        <f aca="false">IF(AND(F192&gt;=$B$4,F192&lt;=$B$5),MAX(0.7*F192-$B$3*H192,0.35*F192),0.35*F192)</f>
        <v>2.508</v>
      </c>
      <c r="S192" s="8" t="n">
        <f aca="false">O192*$B$6</f>
        <v>80.7101234989644</v>
      </c>
      <c r="T192" s="24" t="n">
        <f aca="false">S192*R192</f>
        <v>202.420989735403</v>
      </c>
      <c r="U192" s="24" t="n">
        <f aca="false">P192*$B$6*R192</f>
        <v>121.452593841242</v>
      </c>
      <c r="V192" s="24" t="n">
        <f aca="false">Q192*$B$6*R192</f>
        <v>283.389385629564</v>
      </c>
      <c r="W192" s="6" t="s">
        <v>1160</v>
      </c>
    </row>
    <row r="193" customFormat="false" ht="15" hidden="false" customHeight="false" outlineLevel="0" collapsed="false">
      <c r="A193" s="20" t="str">
        <f aca="false">Charts_Snapshot!A185</f>
        <v>One-Hour Self-Help Short Reads|4</v>
      </c>
      <c r="B193" s="20" t="str">
        <f aca="false">Charts_Snapshot!B185</f>
        <v>One-Hour Self-Help Short Reads</v>
      </c>
      <c r="C193" s="20" t="n">
        <f aca="false">Charts_Snapshot!D185</f>
        <v>4</v>
      </c>
      <c r="D193" s="20" t="str">
        <f aca="false">Charts_Snapshot!E185</f>
        <v>3 Chord Songs Book 1: Play 10 Songs on Guitar with the C, D &amp; G Chords - Includes Strum Patterns (3 Chords Songs)</v>
      </c>
      <c r="E193" s="20" t="str">
        <f aca="false">Charts_Snapshot!H185</f>
        <v>Indie (no publisher listed)</v>
      </c>
      <c r="F193" s="21" t="n">
        <f aca="false">Charts_Snapshot!J185</f>
        <v>0.99</v>
      </c>
      <c r="G193" s="22" t="n">
        <f aca="false">Charts_Snapshot!M185</f>
        <v>78887</v>
      </c>
      <c r="H193" s="20" t="n">
        <f aca="false">Charts_Snapshot!P185</f>
        <v>1.4</v>
      </c>
      <c r="I193" s="20" t="str">
        <f aca="false">Charts_Snapshot!N185</f>
        <v>Y</v>
      </c>
      <c r="J193" s="6" t="n">
        <f aca="false">MIN(MATCH(G193,BSR_Table!$A$2:$A$14,1),12)</f>
        <v>10</v>
      </c>
      <c r="K193" s="8" t="n">
        <f aca="false">INDEX(BSR_Table!$A$2:$A$14,J193)</f>
        <v>50000</v>
      </c>
      <c r="L193" s="8" t="n">
        <f aca="false">INDEX(BSR_Table!$A$2:$A$14,J193+1)</f>
        <v>100000</v>
      </c>
      <c r="M193" s="23" t="n">
        <f aca="false">INDEX(BSR_Table!$B$2:$B$14,J193)</f>
        <v>4</v>
      </c>
      <c r="N193" s="23" t="n">
        <f aca="false">INDEX(BSR_Table!$B$2:$B$14,J193+1)</f>
        <v>1.5</v>
      </c>
      <c r="O193" s="10" t="n">
        <f aca="false">EXP(LN(M193)+(LN(G193)-LN(K193))*(LN(N193)-LN(M193))/(LN(L193)-LN(K193)))</f>
        <v>2.09813014175806</v>
      </c>
      <c r="P193" s="10" t="n">
        <f aca="false">O193*(1-$B$2)</f>
        <v>1.25887808505484</v>
      </c>
      <c r="Q193" s="10" t="n">
        <f aca="false">O193*(1+$B$2)</f>
        <v>2.93738219846129</v>
      </c>
      <c r="R193" s="7" t="n">
        <f aca="false">IF(AND(F193&gt;=$B$4,F193&lt;=$B$5),MAX(0.7*F193-$B$3*H193,0.35*F193),0.35*F193)</f>
        <v>0.3465</v>
      </c>
      <c r="S193" s="8" t="n">
        <f aca="false">O193*$B$6</f>
        <v>62.9439042527419</v>
      </c>
      <c r="T193" s="24" t="n">
        <f aca="false">S193*R193</f>
        <v>21.8100628235751</v>
      </c>
      <c r="U193" s="24" t="n">
        <f aca="false">P193*$B$6*R193</f>
        <v>13.086037694145</v>
      </c>
      <c r="V193" s="24" t="n">
        <f aca="false">Q193*$B$6*R193</f>
        <v>30.5340879530051</v>
      </c>
      <c r="W193" s="6" t="s">
        <v>1160</v>
      </c>
    </row>
    <row r="194" customFormat="false" ht="15" hidden="false" customHeight="false" outlineLevel="0" collapsed="false">
      <c r="A194" s="20" t="str">
        <f aca="false">Charts_Snapshot!A186</f>
        <v>One-Hour Self-Help Short Reads|5</v>
      </c>
      <c r="B194" s="20" t="str">
        <f aca="false">Charts_Snapshot!B186</f>
        <v>One-Hour Self-Help Short Reads</v>
      </c>
      <c r="C194" s="20" t="n">
        <f aca="false">Charts_Snapshot!D186</f>
        <v>5</v>
      </c>
      <c r="D194" s="20" t="str">
        <f aca="false">Charts_Snapshot!E186</f>
        <v>The Key to Personal Peace</v>
      </c>
      <c r="E194" s="20" t="str">
        <f aca="false">Charts_Snapshot!H186</f>
        <v>Traditional/established press</v>
      </c>
      <c r="F194" s="21" t="n">
        <f aca="false">Charts_Snapshot!J186</f>
        <v>0.99</v>
      </c>
      <c r="G194" s="22" t="n">
        <f aca="false">Charts_Snapshot!M186</f>
        <v>80442</v>
      </c>
      <c r="H194" s="20" t="n">
        <f aca="false">Charts_Snapshot!P186</f>
        <v>0.58</v>
      </c>
      <c r="I194" s="20" t="str">
        <f aca="false">Charts_Snapshot!N186</f>
        <v>N</v>
      </c>
      <c r="J194" s="6" t="n">
        <f aca="false">MIN(MATCH(G194,BSR_Table!$A$2:$A$14,1),12)</f>
        <v>10</v>
      </c>
      <c r="K194" s="8" t="n">
        <f aca="false">INDEX(BSR_Table!$A$2:$A$14,J194)</f>
        <v>50000</v>
      </c>
      <c r="L194" s="8" t="n">
        <f aca="false">INDEX(BSR_Table!$A$2:$A$14,J194+1)</f>
        <v>100000</v>
      </c>
      <c r="M194" s="23" t="n">
        <f aca="false">INDEX(BSR_Table!$B$2:$B$14,J194)</f>
        <v>4</v>
      </c>
      <c r="N194" s="23" t="n">
        <f aca="false">INDEX(BSR_Table!$B$2:$B$14,J194+1)</f>
        <v>1.5</v>
      </c>
      <c r="O194" s="10" t="n">
        <f aca="false">EXP(LN(M194)+(LN(G194)-LN(K194))*(LN(N194)-LN(M194))/(LN(L194)-LN(K194)))</f>
        <v>2.04096969782125</v>
      </c>
      <c r="P194" s="10" t="n">
        <f aca="false">O194*(1-$B$2)</f>
        <v>1.22458181869275</v>
      </c>
      <c r="Q194" s="10" t="n">
        <f aca="false">O194*(1+$B$2)</f>
        <v>2.85735757694975</v>
      </c>
      <c r="R194" s="7" t="n">
        <f aca="false">IF(AND(F194&gt;=$B$4,F194&lt;=$B$5),MAX(0.7*F194-$B$3*H194,0.35*F194),0.35*F194)</f>
        <v>0.3465</v>
      </c>
      <c r="S194" s="8" t="n">
        <f aca="false">O194*$B$6</f>
        <v>61.2290909346376</v>
      </c>
      <c r="T194" s="24" t="n">
        <f aca="false">S194*R194</f>
        <v>21.2158800088519</v>
      </c>
      <c r="U194" s="24" t="n">
        <f aca="false">P194*$B$6*R194</f>
        <v>12.7295280053112</v>
      </c>
      <c r="V194" s="24" t="n">
        <f aca="false">Q194*$B$6*R194</f>
        <v>29.7022320123927</v>
      </c>
      <c r="W194" s="6" t="s">
        <v>1160</v>
      </c>
    </row>
    <row r="195" customFormat="false" ht="15" hidden="false" customHeight="false" outlineLevel="0" collapsed="false">
      <c r="A195" s="20" t="str">
        <f aca="false">Charts_Snapshot!A187</f>
        <v>One-Hour Self-Help Short Reads|6</v>
      </c>
      <c r="B195" s="20" t="str">
        <f aca="false">Charts_Snapshot!B187</f>
        <v>One-Hour Self-Help Short Reads</v>
      </c>
      <c r="C195" s="20" t="n">
        <f aca="false">Charts_Snapshot!D187</f>
        <v>6</v>
      </c>
      <c r="D195" s="20" t="str">
        <f aca="false">Charts_Snapshot!E187</f>
        <v>It Will All Work Out: The Freedom of Letting Go</v>
      </c>
      <c r="E195" s="20" t="str">
        <f aca="false">Charts_Snapshot!H187</f>
        <v>Traditional/established press</v>
      </c>
      <c r="F195" s="21" t="n">
        <f aca="false">Charts_Snapshot!J187</f>
        <v>1.99</v>
      </c>
      <c r="G195" s="22" t="n">
        <f aca="false">Charts_Snapshot!M187</f>
        <v>93505</v>
      </c>
      <c r="H195" s="20" t="n">
        <f aca="false">Charts_Snapshot!P187</f>
        <v>3.4</v>
      </c>
      <c r="I195" s="20" t="str">
        <f aca="false">Charts_Snapshot!N187</f>
        <v>Y</v>
      </c>
      <c r="J195" s="6" t="n">
        <f aca="false">MIN(MATCH(G195,BSR_Table!$A$2:$A$14,1),12)</f>
        <v>10</v>
      </c>
      <c r="K195" s="8" t="n">
        <f aca="false">INDEX(BSR_Table!$A$2:$A$14,J195)</f>
        <v>50000</v>
      </c>
      <c r="L195" s="8" t="n">
        <f aca="false">INDEX(BSR_Table!$A$2:$A$14,J195+1)</f>
        <v>100000</v>
      </c>
      <c r="M195" s="23" t="n">
        <f aca="false">INDEX(BSR_Table!$B$2:$B$14,J195)</f>
        <v>4</v>
      </c>
      <c r="N195" s="23" t="n">
        <f aca="false">INDEX(BSR_Table!$B$2:$B$14,J195+1)</f>
        <v>1.5</v>
      </c>
      <c r="O195" s="10" t="n">
        <f aca="false">EXP(LN(M195)+(LN(G195)-LN(K195))*(LN(N195)-LN(M195))/(LN(L195)-LN(K195)))</f>
        <v>1.64953320326192</v>
      </c>
      <c r="P195" s="10" t="n">
        <f aca="false">O195*(1-$B$2)</f>
        <v>0.989719921957155</v>
      </c>
      <c r="Q195" s="10" t="n">
        <f aca="false">O195*(1+$B$2)</f>
        <v>2.30934648456669</v>
      </c>
      <c r="R195" s="7" t="n">
        <f aca="false">IF(AND(F195&gt;=$B$4,F195&lt;=$B$5),MAX(0.7*F195-$B$3*H195,0.35*F195),0.35*F195)</f>
        <v>0.6965</v>
      </c>
      <c r="S195" s="8" t="n">
        <f aca="false">O195*$B$6</f>
        <v>49.4859960978577</v>
      </c>
      <c r="T195" s="24" t="n">
        <f aca="false">S195*R195</f>
        <v>34.4669962821579</v>
      </c>
      <c r="U195" s="24" t="n">
        <f aca="false">P195*$B$6*R195</f>
        <v>20.6801977692948</v>
      </c>
      <c r="V195" s="24" t="n">
        <f aca="false">Q195*$B$6*R195</f>
        <v>48.2537947950211</v>
      </c>
      <c r="W195" s="6" t="s">
        <v>1160</v>
      </c>
    </row>
    <row r="196" customFormat="false" ht="15" hidden="false" customHeight="false" outlineLevel="0" collapsed="false">
      <c r="A196" s="20" t="str">
        <f aca="false">Charts_Snapshot!A188</f>
        <v>One-Hour Self-Help Short Reads|7</v>
      </c>
      <c r="B196" s="20" t="str">
        <f aca="false">Charts_Snapshot!B188</f>
        <v>One-Hour Self-Help Short Reads</v>
      </c>
      <c r="C196" s="20" t="n">
        <f aca="false">Charts_Snapshot!D188</f>
        <v>7</v>
      </c>
      <c r="D196" s="20" t="str">
        <f aca="false">Charts_Snapshot!E188</f>
        <v>The Power of Now…A Guide to Spiritual Enlightenment... In 15 Minutes - The Inspirational Summary of Eckhart Tolle’s Best Selling Book</v>
      </c>
      <c r="E196" s="20" t="str">
        <f aca="false">Charts_Snapshot!H188</f>
        <v>Public-domain/derivative (inferred)</v>
      </c>
      <c r="F196" s="21" t="n">
        <f aca="false">Charts_Snapshot!J188</f>
        <v>3.97</v>
      </c>
      <c r="G196" s="22" t="n">
        <f aca="false">Charts_Snapshot!M188</f>
        <v>97814</v>
      </c>
      <c r="H196" s="20" t="n">
        <f aca="false">Charts_Snapshot!P188</f>
        <v>0.54</v>
      </c>
      <c r="I196" s="20" t="str">
        <f aca="false">Charts_Snapshot!N188</f>
        <v>Y</v>
      </c>
      <c r="J196" s="6" t="n">
        <f aca="false">MIN(MATCH(G196,BSR_Table!$A$2:$A$14,1),12)</f>
        <v>10</v>
      </c>
      <c r="K196" s="8" t="n">
        <f aca="false">INDEX(BSR_Table!$A$2:$A$14,J196)</f>
        <v>50000</v>
      </c>
      <c r="L196" s="8" t="n">
        <f aca="false">INDEX(BSR_Table!$A$2:$A$14,J196+1)</f>
        <v>100000</v>
      </c>
      <c r="M196" s="23" t="n">
        <f aca="false">INDEX(BSR_Table!$B$2:$B$14,J196)</f>
        <v>4</v>
      </c>
      <c r="N196" s="23" t="n">
        <f aca="false">INDEX(BSR_Table!$B$2:$B$14,J196+1)</f>
        <v>1.5</v>
      </c>
      <c r="O196" s="10" t="n">
        <f aca="false">EXP(LN(M196)+(LN(G196)-LN(K196))*(LN(N196)-LN(M196))/(LN(L196)-LN(K196)))</f>
        <v>1.54765507698489</v>
      </c>
      <c r="P196" s="10" t="n">
        <f aca="false">O196*(1-$B$2)</f>
        <v>0.928593046190931</v>
      </c>
      <c r="Q196" s="10" t="n">
        <f aca="false">O196*(1+$B$2)</f>
        <v>2.16671710777884</v>
      </c>
      <c r="R196" s="7" t="n">
        <f aca="false">IF(AND(F196&gt;=$B$4,F196&lt;=$B$5),MAX(0.7*F196-$B$3*H196,0.35*F196),0.35*F196)</f>
        <v>2.698</v>
      </c>
      <c r="S196" s="8" t="n">
        <f aca="false">O196*$B$6</f>
        <v>46.4296523095466</v>
      </c>
      <c r="T196" s="24" t="n">
        <f aca="false">S196*R196</f>
        <v>125.267201931157</v>
      </c>
      <c r="U196" s="24" t="n">
        <f aca="false">P196*$B$6*R196</f>
        <v>75.160321158694</v>
      </c>
      <c r="V196" s="24" t="n">
        <f aca="false">Q196*$B$6*R196</f>
        <v>175.374082703619</v>
      </c>
      <c r="W196" s="6" t="s">
        <v>1160</v>
      </c>
    </row>
    <row r="197" customFormat="false" ht="15" hidden="false" customHeight="false" outlineLevel="0" collapsed="false">
      <c r="A197" s="20" t="str">
        <f aca="false">Charts_Snapshot!A189</f>
        <v>One-Hour Self-Help Short Reads|8</v>
      </c>
      <c r="B197" s="20" t="str">
        <f aca="false">Charts_Snapshot!B189</f>
        <v>One-Hour Self-Help Short Reads</v>
      </c>
      <c r="C197" s="20" t="n">
        <f aca="false">Charts_Snapshot!D189</f>
        <v>8</v>
      </c>
      <c r="D197" s="20" t="str">
        <f aca="false">Charts_Snapshot!E189</f>
        <v>3 Chord Songs Book 2: Play 10 Songs on Guitar with 3 Chords - Includes Strum Patterns (3 Chords Songs)</v>
      </c>
      <c r="E197" s="20" t="str">
        <f aca="false">Charts_Snapshot!H189</f>
        <v>Indie (no publisher listed)</v>
      </c>
      <c r="F197" s="21" t="n">
        <f aca="false">Charts_Snapshot!J189</f>
        <v>0.99</v>
      </c>
      <c r="G197" s="22" t="n">
        <f aca="false">Charts_Snapshot!M189</f>
        <v>101536</v>
      </c>
      <c r="H197" s="20" t="n">
        <f aca="false">Charts_Snapshot!P189</f>
        <v>1.3</v>
      </c>
      <c r="I197" s="20" t="str">
        <f aca="false">Charts_Snapshot!N189</f>
        <v>Y</v>
      </c>
      <c r="J197" s="6" t="n">
        <f aca="false">MIN(MATCH(G197,BSR_Table!$A$2:$A$14,1),12)</f>
        <v>11</v>
      </c>
      <c r="K197" s="8" t="n">
        <f aca="false">INDEX(BSR_Table!$A$2:$A$14,J197)</f>
        <v>100000</v>
      </c>
      <c r="L197" s="8" t="n">
        <f aca="false">INDEX(BSR_Table!$A$2:$A$14,J197+1)</f>
        <v>200000</v>
      </c>
      <c r="M197" s="23" t="n">
        <f aca="false">INDEX(BSR_Table!$B$2:$B$14,J197)</f>
        <v>1.5</v>
      </c>
      <c r="N197" s="23" t="n">
        <f aca="false">INDEX(BSR_Table!$B$2:$B$14,J197+1)</f>
        <v>0.6</v>
      </c>
      <c r="O197" s="10" t="n">
        <f aca="false">EXP(LN(M197)+(LN(G197)-LN(K197))*(LN(N197)-LN(M197))/(LN(L197)-LN(K197)))</f>
        <v>1.47007681553404</v>
      </c>
      <c r="P197" s="10" t="n">
        <f aca="false">O197*(1-$B$2)</f>
        <v>0.882046089320427</v>
      </c>
      <c r="Q197" s="10" t="n">
        <f aca="false">O197*(1+$B$2)</f>
        <v>2.05810754174766</v>
      </c>
      <c r="R197" s="7" t="n">
        <f aca="false">IF(AND(F197&gt;=$B$4,F197&lt;=$B$5),MAX(0.7*F197-$B$3*H197,0.35*F197),0.35*F197)</f>
        <v>0.3465</v>
      </c>
      <c r="S197" s="8" t="n">
        <f aca="false">O197*$B$6</f>
        <v>44.1023044660213</v>
      </c>
      <c r="T197" s="24" t="n">
        <f aca="false">S197*R197</f>
        <v>15.2814484974764</v>
      </c>
      <c r="U197" s="24" t="n">
        <f aca="false">P197*$B$6*R197</f>
        <v>9.16886909848583</v>
      </c>
      <c r="V197" s="24" t="n">
        <f aca="false">Q197*$B$6*R197</f>
        <v>21.3940278964669</v>
      </c>
      <c r="W197" s="6" t="s">
        <v>1160</v>
      </c>
    </row>
    <row r="198" customFormat="false" ht="15" hidden="false" customHeight="false" outlineLevel="0" collapsed="false">
      <c r="A198" s="20" t="str">
        <f aca="false">Charts_Snapshot!A190</f>
        <v>One-Hour Self-Help Short Reads|9</v>
      </c>
      <c r="B198" s="20" t="str">
        <f aca="false">Charts_Snapshot!B190</f>
        <v>One-Hour Self-Help Short Reads</v>
      </c>
      <c r="C198" s="20" t="n">
        <f aca="false">Charts_Snapshot!D190</f>
        <v>9</v>
      </c>
      <c r="D198" s="20" t="str">
        <f aca="false">Charts_Snapshot!E190</f>
        <v>Magickal Cashbook: Attract Money Fast With Ancient Secrets And Modern Wealth Magick (The Gallery of Magick)</v>
      </c>
      <c r="E198" s="20" t="str">
        <f aca="false">Charts_Snapshot!H190</f>
        <v>Indie (no publisher listed)</v>
      </c>
      <c r="F198" s="21" t="n">
        <f aca="false">Charts_Snapshot!J190</f>
        <v>4.99</v>
      </c>
      <c r="G198" s="22" t="n">
        <f aca="false">Charts_Snapshot!M190</f>
        <v>101915</v>
      </c>
      <c r="H198" s="20" t="n">
        <f aca="false">Charts_Snapshot!P190</f>
        <v>1.4</v>
      </c>
      <c r="I198" s="20" t="str">
        <f aca="false">Charts_Snapshot!N190</f>
        <v>N</v>
      </c>
      <c r="J198" s="6" t="n">
        <f aca="false">MIN(MATCH(G198,BSR_Table!$A$2:$A$14,1),12)</f>
        <v>11</v>
      </c>
      <c r="K198" s="8" t="n">
        <f aca="false">INDEX(BSR_Table!$A$2:$A$14,J198)</f>
        <v>100000</v>
      </c>
      <c r="L198" s="8" t="n">
        <f aca="false">INDEX(BSR_Table!$A$2:$A$14,J198+1)</f>
        <v>200000</v>
      </c>
      <c r="M198" s="23" t="n">
        <f aca="false">INDEX(BSR_Table!$B$2:$B$14,J198)</f>
        <v>1.5</v>
      </c>
      <c r="N198" s="23" t="n">
        <f aca="false">INDEX(BSR_Table!$B$2:$B$14,J198+1)</f>
        <v>0.6</v>
      </c>
      <c r="O198" s="10" t="n">
        <f aca="false">EXP(LN(M198)+(LN(G198)-LN(K198))*(LN(N198)-LN(M198))/(LN(L198)-LN(K198)))</f>
        <v>1.46285429640385</v>
      </c>
      <c r="P198" s="10" t="n">
        <f aca="false">O198*(1-$B$2)</f>
        <v>0.877712577842308</v>
      </c>
      <c r="Q198" s="10" t="n">
        <f aca="false">O198*(1+$B$2)</f>
        <v>2.04799601496539</v>
      </c>
      <c r="R198" s="7" t="n">
        <f aca="false">IF(AND(F198&gt;=$B$4,F198&lt;=$B$5),MAX(0.7*F198-$B$3*H198,0.35*F198),0.35*F198)</f>
        <v>3.283</v>
      </c>
      <c r="S198" s="8" t="n">
        <f aca="false">O198*$B$6</f>
        <v>43.8856288921154</v>
      </c>
      <c r="T198" s="24" t="n">
        <f aca="false">S198*R198</f>
        <v>144.076519652815</v>
      </c>
      <c r="U198" s="24" t="n">
        <f aca="false">P198*$B$6*R198</f>
        <v>86.4459117916889</v>
      </c>
      <c r="V198" s="24" t="n">
        <f aca="false">Q198*$B$6*R198</f>
        <v>201.707127513941</v>
      </c>
      <c r="W198" s="6" t="s">
        <v>1160</v>
      </c>
    </row>
    <row r="199" customFormat="false" ht="15" hidden="false" customHeight="false" outlineLevel="0" collapsed="false">
      <c r="A199" s="20" t="str">
        <f aca="false">Charts_Snapshot!A191</f>
        <v>One-Hour Self-Help Short Reads|10</v>
      </c>
      <c r="B199" s="20" t="str">
        <f aca="false">Charts_Snapshot!B191</f>
        <v>One-Hour Self-Help Short Reads</v>
      </c>
      <c r="C199" s="20" t="n">
        <f aca="false">Charts_Snapshot!D191</f>
        <v>10</v>
      </c>
      <c r="D199" s="20" t="str">
        <f aca="false">Charts_Snapshot!E191</f>
        <v>12 principios para ser un gran orador : Cómo hablar con seguridad, influir con tus ideas y vencer el miedo escénico (Spanish Edition)</v>
      </c>
      <c r="E199" s="20" t="str">
        <f aca="false">Charts_Snapshot!H191</f>
        <v>Traditional/established press</v>
      </c>
      <c r="F199" s="21" t="n">
        <f aca="false">Charts_Snapshot!J191</f>
        <v>3.95</v>
      </c>
      <c r="G199" s="22" t="n">
        <f aca="false">Charts_Snapshot!M191</f>
        <v>103010</v>
      </c>
      <c r="H199" s="20" t="n">
        <f aca="false">Charts_Snapshot!P191</f>
        <v>0.82</v>
      </c>
      <c r="I199" s="20" t="str">
        <f aca="false">Charts_Snapshot!N191</f>
        <v>Y</v>
      </c>
      <c r="J199" s="6" t="n">
        <f aca="false">MIN(MATCH(G199,BSR_Table!$A$2:$A$14,1),12)</f>
        <v>11</v>
      </c>
      <c r="K199" s="8" t="n">
        <f aca="false">INDEX(BSR_Table!$A$2:$A$14,J199)</f>
        <v>100000</v>
      </c>
      <c r="L199" s="8" t="n">
        <f aca="false">INDEX(BSR_Table!$A$2:$A$14,J199+1)</f>
        <v>200000</v>
      </c>
      <c r="M199" s="23" t="n">
        <f aca="false">INDEX(BSR_Table!$B$2:$B$14,J199)</f>
        <v>1.5</v>
      </c>
      <c r="N199" s="23" t="n">
        <f aca="false">INDEX(BSR_Table!$B$2:$B$14,J199+1)</f>
        <v>0.6</v>
      </c>
      <c r="O199" s="10" t="n">
        <f aca="false">EXP(LN(M199)+(LN(G199)-LN(K199))*(LN(N199)-LN(M199))/(LN(L199)-LN(K199)))</f>
        <v>1.44233331616314</v>
      </c>
      <c r="P199" s="10" t="n">
        <f aca="false">O199*(1-$B$2)</f>
        <v>0.865399989697882</v>
      </c>
      <c r="Q199" s="10" t="n">
        <f aca="false">O199*(1+$B$2)</f>
        <v>2.01926664262839</v>
      </c>
      <c r="R199" s="7" t="n">
        <f aca="false">IF(AND(F199&gt;=$B$4,F199&lt;=$B$5),MAX(0.7*F199-$B$3*H199,0.35*F199),0.35*F199)</f>
        <v>2.642</v>
      </c>
      <c r="S199" s="8" t="n">
        <f aca="false">O199*$B$6</f>
        <v>43.2699994848941</v>
      </c>
      <c r="T199" s="24" t="n">
        <f aca="false">S199*R199</f>
        <v>114.31933863909</v>
      </c>
      <c r="U199" s="24" t="n">
        <f aca="false">P199*$B$6*R199</f>
        <v>68.5916031834541</v>
      </c>
      <c r="V199" s="24" t="n">
        <f aca="false">Q199*$B$6*R199</f>
        <v>160.047074094726</v>
      </c>
      <c r="W199" s="6" t="s">
        <v>1160</v>
      </c>
    </row>
    <row r="200" customFormat="false" ht="15" hidden="false" customHeight="false" outlineLevel="0" collapsed="false">
      <c r="A200" s="20" t="str">
        <f aca="false">Charts_Snapshot!A192</f>
        <v>One-Hour Self-Help Short Reads|11</v>
      </c>
      <c r="B200" s="20" t="str">
        <f aca="false">Charts_Snapshot!B192</f>
        <v>One-Hour Self-Help Short Reads</v>
      </c>
      <c r="C200" s="20" t="n">
        <f aca="false">Charts_Snapshot!D192</f>
        <v>11</v>
      </c>
      <c r="D200" s="20" t="str">
        <f aca="false">Charts_Snapshot!E192</f>
        <v>At Your Command: The Original Teachings on Conscious Manifestation (The Neville Goddard Collection Book 1)</v>
      </c>
      <c r="E200" s="20" t="str">
        <f aca="false">Charts_Snapshot!H192</f>
        <v>Public-domain reprint</v>
      </c>
      <c r="F200" s="21" t="n">
        <f aca="false">Charts_Snapshot!J192</f>
        <v>1.48</v>
      </c>
      <c r="G200" s="22" t="n">
        <f aca="false">Charts_Snapshot!M192</f>
        <v>169680</v>
      </c>
      <c r="H200" s="20" t="n">
        <f aca="false">Charts_Snapshot!P192</f>
        <v>1.1</v>
      </c>
      <c r="I200" s="20" t="str">
        <f aca="false">Charts_Snapshot!N192</f>
        <v>N</v>
      </c>
      <c r="J200" s="6" t="n">
        <f aca="false">MIN(MATCH(G200,BSR_Table!$A$2:$A$14,1),12)</f>
        <v>11</v>
      </c>
      <c r="K200" s="8" t="n">
        <f aca="false">INDEX(BSR_Table!$A$2:$A$14,J200)</f>
        <v>100000</v>
      </c>
      <c r="L200" s="8" t="n">
        <f aca="false">INDEX(BSR_Table!$A$2:$A$14,J200+1)</f>
        <v>200000</v>
      </c>
      <c r="M200" s="23" t="n">
        <f aca="false">INDEX(BSR_Table!$B$2:$B$14,J200)</f>
        <v>1.5</v>
      </c>
      <c r="N200" s="23" t="n">
        <f aca="false">INDEX(BSR_Table!$B$2:$B$14,J200+1)</f>
        <v>0.6</v>
      </c>
      <c r="O200" s="10" t="n">
        <f aca="false">EXP(LN(M200)+(LN(G200)-LN(K200))*(LN(N200)-LN(M200))/(LN(L200)-LN(K200)))</f>
        <v>0.745651754519931</v>
      </c>
      <c r="P200" s="10" t="n">
        <f aca="false">O200*(1-$B$2)</f>
        <v>0.447391052711959</v>
      </c>
      <c r="Q200" s="10" t="n">
        <f aca="false">O200*(1+$B$2)</f>
        <v>1.0439124563279</v>
      </c>
      <c r="R200" s="7" t="n">
        <f aca="false">IF(AND(F200&gt;=$B$4,F200&lt;=$B$5),MAX(0.7*F200-$B$3*H200,0.35*F200),0.35*F200)</f>
        <v>0.518</v>
      </c>
      <c r="S200" s="8" t="n">
        <f aca="false">O200*$B$6</f>
        <v>22.3695526355979</v>
      </c>
      <c r="T200" s="24" t="n">
        <f aca="false">S200*R200</f>
        <v>11.5874282652397</v>
      </c>
      <c r="U200" s="24" t="n">
        <f aca="false">P200*$B$6*R200</f>
        <v>6.95245695914384</v>
      </c>
      <c r="V200" s="24" t="n">
        <f aca="false">Q200*$B$6*R200</f>
        <v>16.2223995713356</v>
      </c>
      <c r="W200" s="6" t="s">
        <v>1160</v>
      </c>
    </row>
    <row r="201" customFormat="false" ht="15" hidden="false" customHeight="false" outlineLevel="0" collapsed="false">
      <c r="A201" s="20" t="str">
        <f aca="false">Charts_Snapshot!A193</f>
        <v>One-Hour Self-Help Short Reads|12</v>
      </c>
      <c r="B201" s="20" t="str">
        <f aca="false">Charts_Snapshot!B193</f>
        <v>One-Hour Self-Help Short Reads</v>
      </c>
      <c r="C201" s="20" t="n">
        <f aca="false">Charts_Snapshot!D193</f>
        <v>12</v>
      </c>
      <c r="D201" s="20" t="str">
        <f aca="false">Charts_Snapshot!E193</f>
        <v>DECODE &amp; Translate Him: A Girl's Quick Guide to Buddy Talk</v>
      </c>
      <c r="E201" s="20" t="str">
        <f aca="false">Charts_Snapshot!H193</f>
        <v>Indie imprint (inferred)</v>
      </c>
      <c r="F201" s="21" t="n">
        <f aca="false">Charts_Snapshot!J193</f>
        <v>5.99</v>
      </c>
      <c r="G201" s="22" t="n">
        <f aca="false">Charts_Snapshot!M193</f>
        <v>111609</v>
      </c>
      <c r="H201" s="20" t="n">
        <f aca="false">Charts_Snapshot!P193</f>
        <v>0.45</v>
      </c>
      <c r="I201" s="20" t="str">
        <f aca="false">Charts_Snapshot!N193</f>
        <v>Y</v>
      </c>
      <c r="J201" s="6" t="n">
        <f aca="false">MIN(MATCH(G201,BSR_Table!$A$2:$A$14,1),12)</f>
        <v>11</v>
      </c>
      <c r="K201" s="8" t="n">
        <f aca="false">INDEX(BSR_Table!$A$2:$A$14,J201)</f>
        <v>100000</v>
      </c>
      <c r="L201" s="8" t="n">
        <f aca="false">INDEX(BSR_Table!$A$2:$A$14,J201+1)</f>
        <v>200000</v>
      </c>
      <c r="M201" s="23" t="n">
        <f aca="false">INDEX(BSR_Table!$B$2:$B$14,J201)</f>
        <v>1.5</v>
      </c>
      <c r="N201" s="23" t="n">
        <f aca="false">INDEX(BSR_Table!$B$2:$B$14,J201+1)</f>
        <v>0.6</v>
      </c>
      <c r="O201" s="10" t="n">
        <f aca="false">EXP(LN(M201)+(LN(G201)-LN(K201))*(LN(N201)-LN(M201))/(LN(L201)-LN(K201)))</f>
        <v>1.29728777067212</v>
      </c>
      <c r="P201" s="10" t="n">
        <f aca="false">O201*(1-$B$2)</f>
        <v>0.77837266240327</v>
      </c>
      <c r="Q201" s="10" t="n">
        <f aca="false">O201*(1+$B$2)</f>
        <v>1.81620287894096</v>
      </c>
      <c r="R201" s="7" t="n">
        <f aca="false">IF(AND(F201&gt;=$B$4,F201&lt;=$B$5),MAX(0.7*F201-$B$3*H201,0.35*F201),0.35*F201)</f>
        <v>4.1255</v>
      </c>
      <c r="S201" s="8" t="n">
        <f aca="false">O201*$B$6</f>
        <v>38.9186331201635</v>
      </c>
      <c r="T201" s="24" t="n">
        <f aca="false">S201*R201</f>
        <v>160.558820937234</v>
      </c>
      <c r="U201" s="24" t="n">
        <f aca="false">P201*$B$6*R201</f>
        <v>96.3352925623407</v>
      </c>
      <c r="V201" s="24" t="n">
        <f aca="false">Q201*$B$6*R201</f>
        <v>224.782349312128</v>
      </c>
      <c r="W201" s="6" t="s">
        <v>1160</v>
      </c>
    </row>
    <row r="202" customFormat="false" ht="15" hidden="false" customHeight="false" outlineLevel="0" collapsed="false">
      <c r="A202" s="20" t="str">
        <f aca="false">Charts_Snapshot!A194</f>
        <v>One-Hour Self-Help Short Reads|13</v>
      </c>
      <c r="B202" s="20" t="str">
        <f aca="false">Charts_Snapshot!B194</f>
        <v>One-Hour Self-Help Short Reads</v>
      </c>
      <c r="C202" s="20" t="n">
        <f aca="false">Charts_Snapshot!D194</f>
        <v>13</v>
      </c>
      <c r="D202" s="20" t="str">
        <f aca="false">Charts_Snapshot!E194</f>
        <v>3 Chord Songs Book 3: Play 10 Songs on Guitar with 3 Chords - Includes Strum Patterns (3 Chords Songs)</v>
      </c>
      <c r="E202" s="20" t="str">
        <f aca="false">Charts_Snapshot!H194</f>
        <v>Indie (no publisher listed)</v>
      </c>
      <c r="F202" s="21" t="n">
        <f aca="false">Charts_Snapshot!J194</f>
        <v>0.99</v>
      </c>
      <c r="G202" s="22" t="n">
        <f aca="false">Charts_Snapshot!M194</f>
        <v>114299</v>
      </c>
      <c r="H202" s="20" t="n">
        <f aca="false">Charts_Snapshot!P194</f>
        <v>1.3</v>
      </c>
      <c r="I202" s="20" t="str">
        <f aca="false">Charts_Snapshot!N194</f>
        <v>Y</v>
      </c>
      <c r="J202" s="6" t="n">
        <f aca="false">MIN(MATCH(G202,BSR_Table!$A$2:$A$14,1),12)</f>
        <v>11</v>
      </c>
      <c r="K202" s="8" t="n">
        <f aca="false">INDEX(BSR_Table!$A$2:$A$14,J202)</f>
        <v>100000</v>
      </c>
      <c r="L202" s="8" t="n">
        <f aca="false">INDEX(BSR_Table!$A$2:$A$14,J202+1)</f>
        <v>200000</v>
      </c>
      <c r="M202" s="23" t="n">
        <f aca="false">INDEX(BSR_Table!$B$2:$B$14,J202)</f>
        <v>1.5</v>
      </c>
      <c r="N202" s="23" t="n">
        <f aca="false">INDEX(BSR_Table!$B$2:$B$14,J202+1)</f>
        <v>0.6</v>
      </c>
      <c r="O202" s="10" t="n">
        <f aca="false">EXP(LN(M202)+(LN(G202)-LN(K202))*(LN(N202)-LN(M202))/(LN(L202)-LN(K202)))</f>
        <v>1.25708122220939</v>
      </c>
      <c r="P202" s="10" t="n">
        <f aca="false">O202*(1-$B$2)</f>
        <v>0.754248733325634</v>
      </c>
      <c r="Q202" s="10" t="n">
        <f aca="false">O202*(1+$B$2)</f>
        <v>1.75991371109315</v>
      </c>
      <c r="R202" s="7" t="n">
        <f aca="false">IF(AND(F202&gt;=$B$4,F202&lt;=$B$5),MAX(0.7*F202-$B$3*H202,0.35*F202),0.35*F202)</f>
        <v>0.3465</v>
      </c>
      <c r="S202" s="8" t="n">
        <f aca="false">O202*$B$6</f>
        <v>37.7124366662817</v>
      </c>
      <c r="T202" s="24" t="n">
        <f aca="false">S202*R202</f>
        <v>13.0673593048666</v>
      </c>
      <c r="U202" s="24" t="n">
        <f aca="false">P202*$B$6*R202</f>
        <v>7.84041558291996</v>
      </c>
      <c r="V202" s="24" t="n">
        <f aca="false">Q202*$B$6*R202</f>
        <v>18.2943030268132</v>
      </c>
      <c r="W202" s="6" t="s">
        <v>1160</v>
      </c>
    </row>
    <row r="203" customFormat="false" ht="15" hidden="false" customHeight="false" outlineLevel="0" collapsed="false">
      <c r="A203" s="20" t="str">
        <f aca="false">Charts_Snapshot!A195</f>
        <v>One-Hour Self-Help Short Reads|14</v>
      </c>
      <c r="B203" s="20" t="str">
        <f aca="false">Charts_Snapshot!B195</f>
        <v>One-Hour Self-Help Short Reads</v>
      </c>
      <c r="C203" s="20" t="n">
        <f aca="false">Charts_Snapshot!D195</f>
        <v>14</v>
      </c>
      <c r="D203" s="20" t="str">
        <f aca="false">Charts_Snapshot!E195</f>
        <v>Rising with Dyslexia</v>
      </c>
      <c r="E203" s="20" t="str">
        <f aca="false">Charts_Snapshot!H195</f>
        <v>Indie (no publisher listed)</v>
      </c>
      <c r="F203" s="21" t="n">
        <f aca="false">Charts_Snapshot!J195</f>
        <v>4.99</v>
      </c>
      <c r="G203" s="22" t="n">
        <f aca="false">Charts_Snapshot!M195</f>
        <v>123220</v>
      </c>
      <c r="H203" s="20" t="n">
        <f aca="false">Charts_Snapshot!P195</f>
        <v>105.5</v>
      </c>
      <c r="I203" s="20" t="str">
        <f aca="false">Charts_Snapshot!N195</f>
        <v>Y</v>
      </c>
      <c r="J203" s="6" t="n">
        <f aca="false">MIN(MATCH(G203,BSR_Table!$A$2:$A$14,1),12)</f>
        <v>11</v>
      </c>
      <c r="K203" s="8" t="n">
        <f aca="false">INDEX(BSR_Table!$A$2:$A$14,J203)</f>
        <v>100000</v>
      </c>
      <c r="L203" s="8" t="n">
        <f aca="false">INDEX(BSR_Table!$A$2:$A$14,J203+1)</f>
        <v>200000</v>
      </c>
      <c r="M203" s="23" t="n">
        <f aca="false">INDEX(BSR_Table!$B$2:$B$14,J203)</f>
        <v>1.5</v>
      </c>
      <c r="N203" s="23" t="n">
        <f aca="false">INDEX(BSR_Table!$B$2:$B$14,J203+1)</f>
        <v>0.6</v>
      </c>
      <c r="O203" s="10" t="n">
        <f aca="false">EXP(LN(M203)+(LN(G203)-LN(K203))*(LN(N203)-LN(M203))/(LN(L203)-LN(K203)))</f>
        <v>1.13819645126336</v>
      </c>
      <c r="P203" s="10" t="n">
        <f aca="false">O203*(1-$B$2)</f>
        <v>0.682917870758014</v>
      </c>
      <c r="Q203" s="10" t="n">
        <f aca="false">O203*(1+$B$2)</f>
        <v>1.5934750317687</v>
      </c>
      <c r="R203" s="7" t="n">
        <f aca="false">IF(AND(F203&gt;=$B$4,F203&lt;=$B$5),MAX(0.7*F203-$B$3*H203,0.35*F203),0.35*F203)</f>
        <v>1.7465</v>
      </c>
      <c r="S203" s="8" t="n">
        <f aca="false">O203*$B$6</f>
        <v>34.1458935379007</v>
      </c>
      <c r="T203" s="24" t="n">
        <f aca="false">S203*R203</f>
        <v>59.6358030639436</v>
      </c>
      <c r="U203" s="24" t="n">
        <f aca="false">P203*$B$6*R203</f>
        <v>35.7814818383662</v>
      </c>
      <c r="V203" s="24" t="n">
        <f aca="false">Q203*$B$6*R203</f>
        <v>83.490124289521</v>
      </c>
      <c r="W203" s="6" t="s">
        <v>1160</v>
      </c>
    </row>
    <row r="204" customFormat="false" ht="15" hidden="false" customHeight="false" outlineLevel="0" collapsed="false">
      <c r="A204" s="20" t="str">
        <f aca="false">Charts_Snapshot!A196</f>
        <v>One-Hour Self-Help Short Reads|15</v>
      </c>
      <c r="B204" s="20" t="str">
        <f aca="false">Charts_Snapshot!B196</f>
        <v>One-Hour Self-Help Short Reads</v>
      </c>
      <c r="C204" s="20" t="n">
        <f aca="false">Charts_Snapshot!D196</f>
        <v>15</v>
      </c>
      <c r="D204" s="20" t="str">
        <f aca="false">Charts_Snapshot!E196</f>
        <v>Ego transformado (Portuguese Edition)</v>
      </c>
      <c r="E204" s="20" t="str">
        <f aca="false">Charts_Snapshot!H196</f>
        <v>Traditional/established press</v>
      </c>
      <c r="F204" s="21" t="n">
        <f aca="false">Charts_Snapshot!J196</f>
        <v>3.99</v>
      </c>
      <c r="G204" s="22" t="n">
        <f aca="false">Charts_Snapshot!M196</f>
        <v>129193</v>
      </c>
      <c r="H204" s="20" t="n">
        <f aca="false">Charts_Snapshot!P196</f>
        <v>3</v>
      </c>
      <c r="I204" s="20" t="str">
        <f aca="false">Charts_Snapshot!N196</f>
        <v>N</v>
      </c>
      <c r="J204" s="6" t="n">
        <f aca="false">MIN(MATCH(G204,BSR_Table!$A$2:$A$14,1),12)</f>
        <v>11</v>
      </c>
      <c r="K204" s="8" t="n">
        <f aca="false">INDEX(BSR_Table!$A$2:$A$14,J204)</f>
        <v>100000</v>
      </c>
      <c r="L204" s="8" t="n">
        <f aca="false">INDEX(BSR_Table!$A$2:$A$14,J204+1)</f>
        <v>200000</v>
      </c>
      <c r="M204" s="23" t="n">
        <f aca="false">INDEX(BSR_Table!$B$2:$B$14,J204)</f>
        <v>1.5</v>
      </c>
      <c r="N204" s="23" t="n">
        <f aca="false">INDEX(BSR_Table!$B$2:$B$14,J204+1)</f>
        <v>0.6</v>
      </c>
      <c r="O204" s="10" t="n">
        <f aca="false">EXP(LN(M204)+(LN(G204)-LN(K204))*(LN(N204)-LN(M204))/(LN(L204)-LN(K204)))</f>
        <v>1.0691566018843</v>
      </c>
      <c r="P204" s="10" t="n">
        <f aca="false">O204*(1-$B$2)</f>
        <v>0.641493961130577</v>
      </c>
      <c r="Q204" s="10" t="n">
        <f aca="false">O204*(1+$B$2)</f>
        <v>1.49681924263801</v>
      </c>
      <c r="R204" s="7" t="n">
        <f aca="false">IF(AND(F204&gt;=$B$4,F204&lt;=$B$5),MAX(0.7*F204-$B$3*H204,0.35*F204),0.35*F204)</f>
        <v>2.343</v>
      </c>
      <c r="S204" s="8" t="n">
        <f aca="false">O204*$B$6</f>
        <v>32.0746980565289</v>
      </c>
      <c r="T204" s="24" t="n">
        <f aca="false">S204*R204</f>
        <v>75.1510175464471</v>
      </c>
      <c r="U204" s="24" t="n">
        <f aca="false">P204*$B$6*R204</f>
        <v>45.0906105278683</v>
      </c>
      <c r="V204" s="24" t="n">
        <f aca="false">Q204*$B$6*R204</f>
        <v>105.211424565026</v>
      </c>
      <c r="W204" s="6" t="s">
        <v>1160</v>
      </c>
    </row>
    <row r="205" customFormat="false" ht="15" hidden="false" customHeight="false" outlineLevel="0" collapsed="false">
      <c r="A205" s="20" t="str">
        <f aca="false">Charts_Snapshot!A197</f>
        <v>One-Hour Self-Help Short Reads|16</v>
      </c>
      <c r="B205" s="20" t="str">
        <f aca="false">Charts_Snapshot!B197</f>
        <v>One-Hour Self-Help Short Reads</v>
      </c>
      <c r="C205" s="20" t="n">
        <f aca="false">Charts_Snapshot!D197</f>
        <v>16</v>
      </c>
      <c r="D205" s="20" t="str">
        <f aca="false">Charts_Snapshot!E197</f>
        <v>3 Chord Songs Book 4: Play 10 Songs on Guitar with 3 Chords - Includes Strum Patterns (3 Chords Songs)</v>
      </c>
      <c r="E205" s="20" t="str">
        <f aca="false">Charts_Snapshot!H197</f>
        <v>Indie (no publisher listed)</v>
      </c>
      <c r="F205" s="21" t="n">
        <f aca="false">Charts_Snapshot!J197</f>
        <v>0.99</v>
      </c>
      <c r="G205" s="22" t="n">
        <f aca="false">Charts_Snapshot!M197</f>
        <v>138536</v>
      </c>
      <c r="H205" s="20" t="n">
        <f aca="false">Charts_Snapshot!P197</f>
        <v>1.3</v>
      </c>
      <c r="I205" s="20" t="str">
        <f aca="false">Charts_Snapshot!N197</f>
        <v>Y</v>
      </c>
      <c r="J205" s="6" t="n">
        <f aca="false">MIN(MATCH(G205,BSR_Table!$A$2:$A$14,1),12)</f>
        <v>11</v>
      </c>
      <c r="K205" s="8" t="n">
        <f aca="false">INDEX(BSR_Table!$A$2:$A$14,J205)</f>
        <v>100000</v>
      </c>
      <c r="L205" s="8" t="n">
        <f aca="false">INDEX(BSR_Table!$A$2:$A$14,J205+1)</f>
        <v>200000</v>
      </c>
      <c r="M205" s="23" t="n">
        <f aca="false">INDEX(BSR_Table!$B$2:$B$14,J205)</f>
        <v>1.5</v>
      </c>
      <c r="N205" s="23" t="n">
        <f aca="false">INDEX(BSR_Table!$B$2:$B$14,J205+1)</f>
        <v>0.6</v>
      </c>
      <c r="O205" s="10" t="n">
        <f aca="false">EXP(LN(M205)+(LN(G205)-LN(K205))*(LN(N205)-LN(M205))/(LN(L205)-LN(K205)))</f>
        <v>0.974890016243695</v>
      </c>
      <c r="P205" s="10" t="n">
        <f aca="false">O205*(1-$B$2)</f>
        <v>0.584934009746217</v>
      </c>
      <c r="Q205" s="10" t="n">
        <f aca="false">O205*(1+$B$2)</f>
        <v>1.36484602274117</v>
      </c>
      <c r="R205" s="7" t="n">
        <f aca="false">IF(AND(F205&gt;=$B$4,F205&lt;=$B$5),MAX(0.7*F205-$B$3*H205,0.35*F205),0.35*F205)</f>
        <v>0.3465</v>
      </c>
      <c r="S205" s="8" t="n">
        <f aca="false">O205*$B$6</f>
        <v>29.2467004873108</v>
      </c>
      <c r="T205" s="24" t="n">
        <f aca="false">S205*R205</f>
        <v>10.1339817188532</v>
      </c>
      <c r="U205" s="24" t="n">
        <f aca="false">P205*$B$6*R205</f>
        <v>6.08038903131192</v>
      </c>
      <c r="V205" s="24" t="n">
        <f aca="false">Q205*$B$6*R205</f>
        <v>14.1875744063945</v>
      </c>
      <c r="W205" s="6" t="s">
        <v>1160</v>
      </c>
    </row>
    <row r="206" customFormat="false" ht="15" hidden="false" customHeight="false" outlineLevel="0" collapsed="false">
      <c r="A206" s="20" t="str">
        <f aca="false">Charts_Snapshot!A198</f>
        <v>One-Hour Self-Help Short Reads|17</v>
      </c>
      <c r="B206" s="20" t="str">
        <f aca="false">Charts_Snapshot!B198</f>
        <v>One-Hour Self-Help Short Reads</v>
      </c>
      <c r="C206" s="20" t="n">
        <f aca="false">Charts_Snapshot!D198</f>
        <v>17</v>
      </c>
      <c r="D206" s="20" t="str">
        <f aca="false">Charts_Snapshot!E198</f>
        <v>The Index Card Method: A guide to organization, productivity, achieving goals and managing your life using Index Cards</v>
      </c>
      <c r="E206" s="20" t="str">
        <f aca="false">Charts_Snapshot!H198</f>
        <v>Indie (no publisher listed)</v>
      </c>
      <c r="F206" s="21" t="n">
        <f aca="false">Charts_Snapshot!J198</f>
        <v>2.99</v>
      </c>
      <c r="G206" s="22" t="n">
        <f aca="false">Charts_Snapshot!M198</f>
        <v>141474</v>
      </c>
      <c r="H206" s="20" t="n">
        <f aca="false">Charts_Snapshot!P198</f>
        <v>1.3</v>
      </c>
      <c r="I206" s="20" t="str">
        <f aca="false">Charts_Snapshot!N198</f>
        <v>Y</v>
      </c>
      <c r="J206" s="6" t="n">
        <f aca="false">MIN(MATCH(G206,BSR_Table!$A$2:$A$14,1),12)</f>
        <v>11</v>
      </c>
      <c r="K206" s="8" t="n">
        <f aca="false">INDEX(BSR_Table!$A$2:$A$14,J206)</f>
        <v>100000</v>
      </c>
      <c r="L206" s="8" t="n">
        <f aca="false">INDEX(BSR_Table!$A$2:$A$14,J206+1)</f>
        <v>200000</v>
      </c>
      <c r="M206" s="23" t="n">
        <f aca="false">INDEX(BSR_Table!$B$2:$B$14,J206)</f>
        <v>1.5</v>
      </c>
      <c r="N206" s="23" t="n">
        <f aca="false">INDEX(BSR_Table!$B$2:$B$14,J206+1)</f>
        <v>0.6</v>
      </c>
      <c r="O206" s="10" t="n">
        <f aca="false">EXP(LN(M206)+(LN(G206)-LN(K206))*(LN(N206)-LN(M206))/(LN(L206)-LN(K206)))</f>
        <v>0.948216667292691</v>
      </c>
      <c r="P206" s="10" t="n">
        <f aca="false">O206*(1-$B$2)</f>
        <v>0.568930000375614</v>
      </c>
      <c r="Q206" s="10" t="n">
        <f aca="false">O206*(1+$B$2)</f>
        <v>1.32750333420977</v>
      </c>
      <c r="R206" s="7" t="n">
        <f aca="false">IF(AND(F206&gt;=$B$4,F206&lt;=$B$5),MAX(0.7*F206-$B$3*H206,0.35*F206),0.35*F206)</f>
        <v>1.898</v>
      </c>
      <c r="S206" s="8" t="n">
        <f aca="false">O206*$B$6</f>
        <v>28.4465000187807</v>
      </c>
      <c r="T206" s="24" t="n">
        <f aca="false">S206*R206</f>
        <v>53.9914570356458</v>
      </c>
      <c r="U206" s="24" t="n">
        <f aca="false">P206*$B$6*R206</f>
        <v>32.3948742213875</v>
      </c>
      <c r="V206" s="24" t="n">
        <f aca="false">Q206*$B$6*R206</f>
        <v>75.5880398499041</v>
      </c>
      <c r="W206" s="6" t="s">
        <v>1160</v>
      </c>
    </row>
    <row r="207" customFormat="false" ht="15" hidden="false" customHeight="false" outlineLevel="0" collapsed="false">
      <c r="A207" s="20" t="str">
        <f aca="false">Charts_Snapshot!A199</f>
        <v>One-Hour Self-Help Short Reads|18</v>
      </c>
      <c r="B207" s="20" t="str">
        <f aca="false">Charts_Snapshot!B199</f>
        <v>One-Hour Self-Help Short Reads</v>
      </c>
      <c r="C207" s="20" t="n">
        <f aca="false">Charts_Snapshot!D199</f>
        <v>18</v>
      </c>
      <c r="D207" s="20" t="str">
        <f aca="false">Charts_Snapshot!E199</f>
        <v>La Búsqueda del Tiempo Perdido en la Torre del Reloj (Spanish Edition)</v>
      </c>
      <c r="E207" s="20" t="str">
        <f aca="false">Charts_Snapshot!H199</f>
        <v>Indie (no publisher listed)</v>
      </c>
      <c r="F207" s="21" t="n">
        <f aca="false">Charts_Snapshot!J199</f>
        <v>5.9</v>
      </c>
      <c r="G207" s="22" t="n">
        <f aca="false">Charts_Snapshot!M199</f>
        <v>148384</v>
      </c>
      <c r="H207" s="20" t="n">
        <f aca="false">Charts_Snapshot!P199</f>
        <v>1.5</v>
      </c>
      <c r="I207" s="20" t="str">
        <f aca="false">Charts_Snapshot!N199</f>
        <v>N</v>
      </c>
      <c r="J207" s="6" t="n">
        <f aca="false">MIN(MATCH(G207,BSR_Table!$A$2:$A$14,1),12)</f>
        <v>11</v>
      </c>
      <c r="K207" s="8" t="n">
        <f aca="false">INDEX(BSR_Table!$A$2:$A$14,J207)</f>
        <v>100000</v>
      </c>
      <c r="L207" s="8" t="n">
        <f aca="false">INDEX(BSR_Table!$A$2:$A$14,J207+1)</f>
        <v>200000</v>
      </c>
      <c r="M207" s="23" t="n">
        <f aca="false">INDEX(BSR_Table!$B$2:$B$14,J207)</f>
        <v>1.5</v>
      </c>
      <c r="N207" s="23" t="n">
        <f aca="false">INDEX(BSR_Table!$B$2:$B$14,J207+1)</f>
        <v>0.6</v>
      </c>
      <c r="O207" s="10" t="n">
        <f aca="false">EXP(LN(M207)+(LN(G207)-LN(K207))*(LN(N207)-LN(M207))/(LN(L207)-LN(K207)))</f>
        <v>0.890286669360177</v>
      </c>
      <c r="P207" s="10" t="n">
        <f aca="false">O207*(1-$B$2)</f>
        <v>0.534172001616106</v>
      </c>
      <c r="Q207" s="10" t="n">
        <f aca="false">O207*(1+$B$2)</f>
        <v>1.24640133710425</v>
      </c>
      <c r="R207" s="7" t="n">
        <f aca="false">IF(AND(F207&gt;=$B$4,F207&lt;=$B$5),MAX(0.7*F207-$B$3*H207,0.35*F207),0.35*F207)</f>
        <v>3.905</v>
      </c>
      <c r="S207" s="8" t="n">
        <f aca="false">O207*$B$6</f>
        <v>26.7086000808053</v>
      </c>
      <c r="T207" s="24" t="n">
        <f aca="false">S207*R207</f>
        <v>104.297083315545</v>
      </c>
      <c r="U207" s="24" t="n">
        <f aca="false">P207*$B$6*R207</f>
        <v>62.5782499893268</v>
      </c>
      <c r="V207" s="24" t="n">
        <f aca="false">Q207*$B$6*R207</f>
        <v>146.015916641763</v>
      </c>
      <c r="W207" s="6" t="s">
        <v>1160</v>
      </c>
    </row>
    <row r="208" customFormat="false" ht="15" hidden="false" customHeight="false" outlineLevel="0" collapsed="false">
      <c r="A208" s="20" t="str">
        <f aca="false">Charts_Snapshot!A200</f>
        <v>One-Hour Self-Help Short Reads|19</v>
      </c>
      <c r="B208" s="20" t="str">
        <f aca="false">Charts_Snapshot!B200</f>
        <v>One-Hour Self-Help Short Reads</v>
      </c>
      <c r="C208" s="20" t="n">
        <f aca="false">Charts_Snapshot!D200</f>
        <v>19</v>
      </c>
      <c r="D208" s="20" t="str">
        <f aca="false">Charts_Snapshot!E200</f>
        <v>How To Doodle: For adults and non-artists of all ages</v>
      </c>
      <c r="E208" s="20" t="str">
        <f aca="false">Charts_Snapshot!H200</f>
        <v>Indie (no publisher listed)</v>
      </c>
      <c r="F208" s="21" t="n">
        <f aca="false">Charts_Snapshot!J200</f>
        <v>2.99</v>
      </c>
      <c r="G208" s="22" t="n">
        <f aca="false">Charts_Snapshot!M200</f>
        <v>166349</v>
      </c>
      <c r="H208" s="20" t="n">
        <f aca="false">Charts_Snapshot!P200</f>
        <v>4.3</v>
      </c>
      <c r="I208" s="20" t="str">
        <f aca="false">Charts_Snapshot!N200</f>
        <v>Y</v>
      </c>
      <c r="J208" s="6" t="n">
        <f aca="false">MIN(MATCH(G208,BSR_Table!$A$2:$A$14,1),12)</f>
        <v>11</v>
      </c>
      <c r="K208" s="8" t="n">
        <f aca="false">INDEX(BSR_Table!$A$2:$A$14,J208)</f>
        <v>100000</v>
      </c>
      <c r="L208" s="8" t="n">
        <f aca="false">INDEX(BSR_Table!$A$2:$A$14,J208+1)</f>
        <v>200000</v>
      </c>
      <c r="M208" s="23" t="n">
        <f aca="false">INDEX(BSR_Table!$B$2:$B$14,J208)</f>
        <v>1.5</v>
      </c>
      <c r="N208" s="23" t="n">
        <f aca="false">INDEX(BSR_Table!$B$2:$B$14,J208+1)</f>
        <v>0.6</v>
      </c>
      <c r="O208" s="10" t="n">
        <f aca="false">EXP(LN(M208)+(LN(G208)-LN(K208))*(LN(N208)-LN(M208))/(LN(L208)-LN(K208)))</f>
        <v>0.765452867722377</v>
      </c>
      <c r="P208" s="10" t="n">
        <f aca="false">O208*(1-$B$2)</f>
        <v>0.459271720633426</v>
      </c>
      <c r="Q208" s="10" t="n">
        <f aca="false">O208*(1+$B$2)</f>
        <v>1.07163401481133</v>
      </c>
      <c r="R208" s="7" t="n">
        <f aca="false">IF(AND(F208&gt;=$B$4,F208&lt;=$B$5),MAX(0.7*F208-$B$3*H208,0.35*F208),0.35*F208)</f>
        <v>1.448</v>
      </c>
      <c r="S208" s="8" t="n">
        <f aca="false">O208*$B$6</f>
        <v>22.9635860316713</v>
      </c>
      <c r="T208" s="24" t="n">
        <f aca="false">S208*R208</f>
        <v>33.2512725738601</v>
      </c>
      <c r="U208" s="24" t="n">
        <f aca="false">P208*$B$6*R208</f>
        <v>19.950763544316</v>
      </c>
      <c r="V208" s="24" t="n">
        <f aca="false">Q208*$B$6*R208</f>
        <v>46.5517816034041</v>
      </c>
      <c r="W208" s="6" t="s">
        <v>1160</v>
      </c>
    </row>
    <row r="209" customFormat="false" ht="15" hidden="false" customHeight="false" outlineLevel="0" collapsed="false">
      <c r="A209" s="20" t="str">
        <f aca="false">Charts_Snapshot!A201</f>
        <v>One-Hour Self-Help Short Reads|20</v>
      </c>
      <c r="B209" s="20" t="str">
        <f aca="false">Charts_Snapshot!B201</f>
        <v>One-Hour Self-Help Short Reads</v>
      </c>
      <c r="C209" s="20" t="n">
        <f aca="false">Charts_Snapshot!D201</f>
        <v>20</v>
      </c>
      <c r="D209" s="20" t="str">
        <f aca="false">Charts_Snapshot!E201</f>
        <v>Not Crazy, Just Conditioned: Surviving Narcissistic Abuse and Reclaiming Your Power</v>
      </c>
      <c r="E209" s="20" t="str">
        <f aca="false">Charts_Snapshot!H201</f>
        <v>Indie (no publisher listed)</v>
      </c>
      <c r="F209" s="21" t="n">
        <f aca="false">Charts_Snapshot!J201</f>
        <v>5.99</v>
      </c>
      <c r="G209" s="22" t="n">
        <f aca="false">Charts_Snapshot!M201</f>
        <v>170146</v>
      </c>
      <c r="H209" s="20" t="n">
        <f aca="false">Charts_Snapshot!P201</f>
        <v>3.9</v>
      </c>
      <c r="I209" s="20" t="str">
        <f aca="false">Charts_Snapshot!N201</f>
        <v>N</v>
      </c>
      <c r="J209" s="6" t="n">
        <f aca="false">MIN(MATCH(G209,BSR_Table!$A$2:$A$14,1),12)</f>
        <v>11</v>
      </c>
      <c r="K209" s="8" t="n">
        <f aca="false">INDEX(BSR_Table!$A$2:$A$14,J209)</f>
        <v>100000</v>
      </c>
      <c r="L209" s="8" t="n">
        <f aca="false">INDEX(BSR_Table!$A$2:$A$14,J209+1)</f>
        <v>200000</v>
      </c>
      <c r="M209" s="23" t="n">
        <f aca="false">INDEX(BSR_Table!$B$2:$B$14,J209)</f>
        <v>1.5</v>
      </c>
      <c r="N209" s="23" t="n">
        <f aca="false">INDEX(BSR_Table!$B$2:$B$14,J209+1)</f>
        <v>0.6</v>
      </c>
      <c r="O209" s="10" t="n">
        <f aca="false">EXP(LN(M209)+(LN(G209)-LN(K209))*(LN(N209)-LN(M209))/(LN(L209)-LN(K209)))</f>
        <v>0.742953291758217</v>
      </c>
      <c r="P209" s="10" t="n">
        <f aca="false">O209*(1-$B$2)</f>
        <v>0.44577197505493</v>
      </c>
      <c r="Q209" s="10" t="n">
        <f aca="false">O209*(1+$B$2)</f>
        <v>1.0401346084615</v>
      </c>
      <c r="R209" s="7" t="n">
        <f aca="false">IF(AND(F209&gt;=$B$4,F209&lt;=$B$5),MAX(0.7*F209-$B$3*H209,0.35*F209),0.35*F209)</f>
        <v>3.608</v>
      </c>
      <c r="S209" s="8" t="n">
        <f aca="false">O209*$B$6</f>
        <v>22.2885987527465</v>
      </c>
      <c r="T209" s="24" t="n">
        <f aca="false">S209*R209</f>
        <v>80.4172642999094</v>
      </c>
      <c r="U209" s="24" t="n">
        <f aca="false">P209*$B$6*R209</f>
        <v>48.2503585799457</v>
      </c>
      <c r="V209" s="24" t="n">
        <f aca="false">Q209*$B$6*R209</f>
        <v>112.584170019873</v>
      </c>
      <c r="W209" s="6" t="s">
        <v>1160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3"/>
    <col collapsed="false" customWidth="true" hidden="false" outlineLevel="0" max="4" min="3" style="0" width="11"/>
    <col collapsed="false" customWidth="true" hidden="false" outlineLevel="0" max="7" min="5" style="0" width="10"/>
    <col collapsed="false" customWidth="true" hidden="false" outlineLevel="0" max="8" min="8" style="0" width="11"/>
    <col collapsed="false" customWidth="true" hidden="false" outlineLevel="0" max="10" min="9" style="0" width="10"/>
    <col collapsed="false" customWidth="true" hidden="false" outlineLevel="0" max="11" min="11" style="0" width="11"/>
    <col collapsed="false" customWidth="true" hidden="false" outlineLevel="0" max="13" min="12" style="0" width="9"/>
    <col collapsed="false" customWidth="true" hidden="false" outlineLevel="0" max="14" min="14" style="0" width="10"/>
    <col collapsed="false" customWidth="true" hidden="false" outlineLevel="0" max="16" min="15" style="0" width="9"/>
    <col collapsed="false" customWidth="true" hidden="false" outlineLevel="0" max="17" min="17" style="0" width="10"/>
    <col collapsed="false" customWidth="true" hidden="false" outlineLevel="0" max="18" min="18" style="0" width="9"/>
    <col collapsed="false" customWidth="true" hidden="false" outlineLevel="0" max="20" min="19" style="0" width="12"/>
    <col collapsed="false" customWidth="true" hidden="false" outlineLevel="0" max="21" min="21" style="0" width="9"/>
    <col collapsed="false" customWidth="true" hidden="false" outlineLevel="0" max="22" min="22" style="0" width="70"/>
  </cols>
  <sheetData>
    <row r="1" customFormat="false" ht="35.05" hidden="false" customHeight="false" outlineLevel="0" collapsed="false">
      <c r="A1" s="4" t="s">
        <v>38</v>
      </c>
      <c r="B1" s="4" t="s">
        <v>94</v>
      </c>
      <c r="C1" s="4" t="s">
        <v>1161</v>
      </c>
      <c r="D1" s="4" t="s">
        <v>1162</v>
      </c>
      <c r="E1" s="4" t="s">
        <v>1163</v>
      </c>
      <c r="F1" s="4" t="s">
        <v>1164</v>
      </c>
      <c r="G1" s="4" t="s">
        <v>1165</v>
      </c>
      <c r="H1" s="4" t="s">
        <v>1166</v>
      </c>
      <c r="I1" s="4" t="s">
        <v>1167</v>
      </c>
      <c r="J1" s="4" t="s">
        <v>1168</v>
      </c>
      <c r="K1" s="4" t="s">
        <v>1169</v>
      </c>
      <c r="L1" s="4" t="s">
        <v>1170</v>
      </c>
      <c r="M1" s="4" t="s">
        <v>1171</v>
      </c>
      <c r="N1" s="4" t="s">
        <v>1172</v>
      </c>
      <c r="O1" s="4" t="s">
        <v>1173</v>
      </c>
      <c r="P1" s="4" t="s">
        <v>1174</v>
      </c>
      <c r="Q1" s="4" t="s">
        <v>1175</v>
      </c>
      <c r="R1" s="4" t="s">
        <v>1176</v>
      </c>
      <c r="S1" s="4" t="s">
        <v>1177</v>
      </c>
      <c r="T1" s="4" t="s">
        <v>1178</v>
      </c>
      <c r="U1" s="4" t="s">
        <v>1179</v>
      </c>
      <c r="V1" s="4" t="s">
        <v>1180</v>
      </c>
    </row>
    <row r="2" customFormat="false" ht="23.85" hidden="false" customHeight="false" outlineLevel="0" collapsed="false">
      <c r="A2" s="6" t="s">
        <v>42</v>
      </c>
      <c r="B2" s="6" t="s">
        <v>43</v>
      </c>
      <c r="C2" s="8" t="n">
        <f aca="false">INDEX(Charts_Snapshot!$M$2:$M$201,MATCH(A2&amp;"|1",Charts_Snapshot!$A$2:$A$201,0))</f>
        <v>6841</v>
      </c>
      <c r="D2" s="8" t="n">
        <f aca="false">INDEX(Charts_Snapshot!$M$2:$M$201,MATCH(A2&amp;"|20",Charts_Snapshot!$A$2:$A$201,0))</f>
        <v>33340</v>
      </c>
      <c r="E2" s="10" t="n">
        <f aca="false">INDEX(Sales_Estimates!$O$10:$O$209,MATCH(A2&amp;"|1",Sales_Estimates!$A$10:$A$209,0))</f>
        <v>24.9734677984104</v>
      </c>
      <c r="F2" s="10" t="n">
        <f aca="false">INDEX(Sales_Estimates!$O$10:$O$209,MATCH(A2&amp;"|20",Sales_Estimates!$A$10:$A$209,0))</f>
        <v>5.99880023995201</v>
      </c>
      <c r="G2" s="6" t="n">
        <f aca="false">COUNTIFS(Charts_Snapshot!$B$2:$B$201,A2,Charts_Snapshot!$H$2:$H$201,"Indie*")</f>
        <v>2</v>
      </c>
      <c r="H2" s="6" t="n">
        <f aca="false">COUNTIFS(Charts_Snapshot!$B$2:$B$201,A2,Charts_Snapshot!$H$2:$H$201,"Indie*",Charts_Snapshot!$R$2:$R$201,"&lt;=18")</f>
        <v>2</v>
      </c>
      <c r="I2" s="6" t="n">
        <f aca="false">COUNTIFS(Charts_Snapshot!$B$2:$B$201,A2,Charts_Snapshot!$N$2:$N$201,"Y")</f>
        <v>13</v>
      </c>
      <c r="J2" s="25" t="n">
        <f aca="false">AVERAGEIFS(Charts_Snapshot!$O$2:$O$201,Charts_Snapshot!$B$2:$B$201,A2)</f>
        <v>213.05</v>
      </c>
      <c r="K2" s="26" t="n">
        <f aca="false">AVERAGEIFS(Charts_Snapshot!$J$2:$J$201,Charts_Snapshot!$B$2:$B$201,A2)</f>
        <v>4.388</v>
      </c>
      <c r="L2" s="27" t="n">
        <v>21</v>
      </c>
      <c r="M2" s="27" t="n">
        <v>1</v>
      </c>
      <c r="N2" s="28" t="n">
        <v>7.97</v>
      </c>
      <c r="O2" s="27" t="n">
        <v>214</v>
      </c>
      <c r="P2" s="29" t="n">
        <v>0.4</v>
      </c>
      <c r="Q2" s="29" t="n">
        <v>0.3333</v>
      </c>
      <c r="R2" s="27" t="s">
        <v>1181</v>
      </c>
      <c r="S2" s="6" t="s">
        <v>1182</v>
      </c>
      <c r="T2" s="6" t="s">
        <v>1182</v>
      </c>
      <c r="U2" s="30" t="s">
        <v>1182</v>
      </c>
      <c r="V2" s="3" t="s">
        <v>1183</v>
      </c>
    </row>
    <row r="3" customFormat="false" ht="23.85" hidden="false" customHeight="false" outlineLevel="0" collapsed="false">
      <c r="A3" s="6" t="s">
        <v>46</v>
      </c>
      <c r="B3" s="6" t="s">
        <v>47</v>
      </c>
      <c r="C3" s="8" t="n">
        <f aca="false">INDEX(Charts_Snapshot!$M$2:$M$201,MATCH(A3&amp;"|1",Charts_Snapshot!$A$2:$A$201,0))</f>
        <v>426</v>
      </c>
      <c r="D3" s="8" t="n">
        <f aca="false">INDEX(Charts_Snapshot!$M$2:$M$201,MATCH(A3&amp;"|20",Charts_Snapshot!$A$2:$A$201,0))</f>
        <v>22588</v>
      </c>
      <c r="E3" s="10" t="n">
        <f aca="false">INDEX(Sales_Estimates!$O$10:$O$209,MATCH(A3&amp;"|1",Sales_Estimates!$A$10:$A$209,0))</f>
        <v>320.144023312764</v>
      </c>
      <c r="F3" s="10" t="n">
        <f aca="false">INDEX(Sales_Estimates!$O$10:$O$209,MATCH(A3&amp;"|20",Sales_Estimates!$A$10:$A$209,0))</f>
        <v>8.85425889853018</v>
      </c>
      <c r="G3" s="6" t="n">
        <f aca="false">COUNTIFS(Charts_Snapshot!$B$2:$B$201,A3,Charts_Snapshot!$H$2:$H$201,"Indie*")</f>
        <v>5</v>
      </c>
      <c r="H3" s="6" t="n">
        <f aca="false">COUNTIFS(Charts_Snapshot!$B$2:$B$201,A3,Charts_Snapshot!$H$2:$H$201,"Indie*",Charts_Snapshot!$R$2:$R$201,"&lt;=18")</f>
        <v>4</v>
      </c>
      <c r="I3" s="6" t="n">
        <f aca="false">COUNTIFS(Charts_Snapshot!$B$2:$B$201,A3,Charts_Snapshot!$N$2:$N$201,"Y")</f>
        <v>10</v>
      </c>
      <c r="J3" s="25" t="n">
        <f aca="false">AVERAGEIFS(Charts_Snapshot!$O$2:$O$201,Charts_Snapshot!$B$2:$B$201,A3)</f>
        <v>247.85</v>
      </c>
      <c r="K3" s="26" t="n">
        <f aca="false">AVERAGEIFS(Charts_Snapshot!$J$2:$J$201,Charts_Snapshot!$B$2:$B$201,A3)</f>
        <v>8.615</v>
      </c>
      <c r="L3" s="27" t="n">
        <v>105</v>
      </c>
      <c r="M3" s="27" t="n">
        <v>1</v>
      </c>
      <c r="N3" s="28" t="n">
        <v>9.99</v>
      </c>
      <c r="O3" s="27" t="n">
        <v>215</v>
      </c>
      <c r="P3" s="29" t="n">
        <v>0.35</v>
      </c>
      <c r="Q3" s="29" t="n">
        <v>0.4333</v>
      </c>
      <c r="R3" s="27" t="s">
        <v>1184</v>
      </c>
      <c r="S3" s="6" t="s">
        <v>1182</v>
      </c>
      <c r="T3" s="6" t="s">
        <v>1182</v>
      </c>
      <c r="U3" s="30" t="s">
        <v>1182</v>
      </c>
      <c r="V3" s="3" t="s">
        <v>1185</v>
      </c>
    </row>
    <row r="4" customFormat="false" ht="23.85" hidden="false" customHeight="false" outlineLevel="0" collapsed="false">
      <c r="A4" s="6" t="s">
        <v>49</v>
      </c>
      <c r="B4" s="6" t="s">
        <v>50</v>
      </c>
      <c r="C4" s="8" t="n">
        <f aca="false">INDEX(Charts_Snapshot!$M$2:$M$201,MATCH(A4&amp;"|1",Charts_Snapshot!$A$2:$A$201,0))</f>
        <v>225</v>
      </c>
      <c r="D4" s="8" t="n">
        <f aca="false">INDEX(Charts_Snapshot!$M$2:$M$201,MATCH(A4&amp;"|20",Charts_Snapshot!$A$2:$A$201,0))</f>
        <v>11053</v>
      </c>
      <c r="E4" s="10" t="n">
        <f aca="false">INDEX(Sales_Estimates!$O$10:$O$209,MATCH(A4&amp;"|1",Sales_Estimates!$A$10:$A$209,0))</f>
        <v>541.482231116177</v>
      </c>
      <c r="F4" s="10" t="n">
        <f aca="false">INDEX(Sales_Estimates!$O$10:$O$209,MATCH(A4&amp;"|20",Sales_Estimates!$A$10:$A$209,0))</f>
        <v>18.0946349407401</v>
      </c>
      <c r="G4" s="6" t="n">
        <f aca="false">COUNTIFS(Charts_Snapshot!$B$2:$B$201,A4,Charts_Snapshot!$H$2:$H$201,"Indie*")</f>
        <v>5</v>
      </c>
      <c r="H4" s="6" t="n">
        <f aca="false">COUNTIFS(Charts_Snapshot!$B$2:$B$201,A4,Charts_Snapshot!$H$2:$H$201,"Indie*",Charts_Snapshot!$R$2:$R$201,"&lt;=18")</f>
        <v>3</v>
      </c>
      <c r="I4" s="6" t="n">
        <f aca="false">COUNTIFS(Charts_Snapshot!$B$2:$B$201,A4,Charts_Snapshot!$N$2:$N$201,"Y")</f>
        <v>9</v>
      </c>
      <c r="J4" s="25" t="n">
        <f aca="false">AVERAGEIFS(Charts_Snapshot!$O$2:$O$201,Charts_Snapshot!$B$2:$B$201,A4)</f>
        <v>239.35</v>
      </c>
      <c r="K4" s="26" t="n">
        <f aca="false">AVERAGEIFS(Charts_Snapshot!$J$2:$J$201,Charts_Snapshot!$B$2:$B$201,A4)</f>
        <v>6.9925</v>
      </c>
      <c r="L4" s="27" t="n">
        <v>57</v>
      </c>
      <c r="M4" s="27" t="n">
        <v>4</v>
      </c>
      <c r="N4" s="28" t="n">
        <v>10.49</v>
      </c>
      <c r="O4" s="27" t="n">
        <v>245</v>
      </c>
      <c r="P4" s="29" t="n">
        <v>0.25</v>
      </c>
      <c r="Q4" s="29" t="n">
        <v>0.4</v>
      </c>
      <c r="R4" s="27" t="s">
        <v>1184</v>
      </c>
      <c r="S4" s="6" t="s">
        <v>1182</v>
      </c>
      <c r="T4" s="6" t="s">
        <v>1182</v>
      </c>
      <c r="U4" s="30" t="s">
        <v>1182</v>
      </c>
      <c r="V4" s="3" t="s">
        <v>1186</v>
      </c>
    </row>
    <row r="5" customFormat="false" ht="23.85" hidden="false" customHeight="false" outlineLevel="0" collapsed="false">
      <c r="A5" s="6" t="s">
        <v>52</v>
      </c>
      <c r="B5" s="6" t="s">
        <v>53</v>
      </c>
      <c r="C5" s="8" t="n">
        <f aca="false">INDEX(Charts_Snapshot!$M$2:$M$201,MATCH(A5&amp;"|1",Charts_Snapshot!$A$2:$A$201,0))</f>
        <v>225</v>
      </c>
      <c r="D5" s="8" t="n">
        <f aca="false">INDEX(Charts_Snapshot!$M$2:$M$201,MATCH(A5&amp;"|20",Charts_Snapshot!$A$2:$A$201,0))</f>
        <v>4854</v>
      </c>
      <c r="E5" s="10" t="n">
        <f aca="false">INDEX(Sales_Estimates!$O$10:$O$209,MATCH(A5&amp;"|1",Sales_Estimates!$A$10:$A$209,0))</f>
        <v>541.482231116177</v>
      </c>
      <c r="F5" s="10" t="n">
        <f aca="false">INDEX(Sales_Estimates!$O$10:$O$209,MATCH(A5&amp;"|20",Sales_Estimates!$A$10:$A$209,0))</f>
        <v>30.7596571608895</v>
      </c>
      <c r="G5" s="6" t="n">
        <f aca="false">COUNTIFS(Charts_Snapshot!$B$2:$B$201,A5,Charts_Snapshot!$H$2:$H$201,"Indie*")</f>
        <v>1</v>
      </c>
      <c r="H5" s="6" t="n">
        <f aca="false">COUNTIFS(Charts_Snapshot!$B$2:$B$201,A5,Charts_Snapshot!$H$2:$H$201,"Indie*",Charts_Snapshot!$R$2:$R$201,"&lt;=18")</f>
        <v>0</v>
      </c>
      <c r="I5" s="6" t="n">
        <f aca="false">COUNTIFS(Charts_Snapshot!$B$2:$B$201,A5,Charts_Snapshot!$N$2:$N$201,"Y")</f>
        <v>5</v>
      </c>
      <c r="J5" s="25" t="n">
        <f aca="false">AVERAGEIFS(Charts_Snapshot!$O$2:$O$201,Charts_Snapshot!$B$2:$B$201,A5)</f>
        <v>259</v>
      </c>
      <c r="K5" s="26" t="n">
        <f aca="false">AVERAGEIFS(Charts_Snapshot!$J$2:$J$201,Charts_Snapshot!$B$2:$B$201,A5)</f>
        <v>7.907</v>
      </c>
      <c r="L5" s="27" t="n">
        <v>173</v>
      </c>
      <c r="M5" s="27" t="n">
        <v>11</v>
      </c>
      <c r="N5" s="28" t="n">
        <v>9.99</v>
      </c>
      <c r="O5" s="27" t="n">
        <v>258</v>
      </c>
      <c r="P5" s="29" t="n">
        <v>0.15</v>
      </c>
      <c r="Q5" s="29" t="n">
        <v>0.3667</v>
      </c>
      <c r="R5" s="27" t="s">
        <v>1184</v>
      </c>
      <c r="S5" s="27" t="s">
        <v>1187</v>
      </c>
      <c r="T5" s="27" t="s">
        <v>1188</v>
      </c>
      <c r="U5" s="29" t="n">
        <v>0.6</v>
      </c>
      <c r="V5" s="3" t="s">
        <v>1189</v>
      </c>
    </row>
    <row r="6" customFormat="false" ht="23.85" hidden="false" customHeight="false" outlineLevel="0" collapsed="false">
      <c r="A6" s="6" t="s">
        <v>56</v>
      </c>
      <c r="B6" s="6" t="s">
        <v>57</v>
      </c>
      <c r="C6" s="8" t="n">
        <f aca="false">INDEX(Charts_Snapshot!$M$2:$M$201,MATCH(A6&amp;"|1",Charts_Snapshot!$A$2:$A$201,0))</f>
        <v>4802</v>
      </c>
      <c r="D6" s="8" t="n">
        <f aca="false">INDEX(Charts_Snapshot!$M$2:$M$201,MATCH(A6&amp;"|20",Charts_Snapshot!$A$2:$A$201,0))</f>
        <v>75119</v>
      </c>
      <c r="E6" s="10" t="n">
        <f aca="false">INDEX(Sales_Estimates!$O$10:$O$209,MATCH(A6&amp;"|1",Sales_Estimates!$A$10:$A$209,0))</f>
        <v>31.0404911602631</v>
      </c>
      <c r="F6" s="10" t="n">
        <f aca="false">INDEX(Sales_Estimates!$O$10:$O$209,MATCH(A6&amp;"|20",Sales_Estimates!$A$10:$A$209,0))</f>
        <v>2.24858834022171</v>
      </c>
      <c r="G6" s="6" t="n">
        <f aca="false">COUNTIFS(Charts_Snapshot!$B$2:$B$201,A6,Charts_Snapshot!$H$2:$H$201,"Indie*")</f>
        <v>2</v>
      </c>
      <c r="H6" s="6" t="n">
        <f aca="false">COUNTIFS(Charts_Snapshot!$B$2:$B$201,A6,Charts_Snapshot!$H$2:$H$201,"Indie*",Charts_Snapshot!$R$2:$R$201,"&lt;=18")</f>
        <v>2</v>
      </c>
      <c r="I6" s="6" t="n">
        <f aca="false">COUNTIFS(Charts_Snapshot!$B$2:$B$201,A6,Charts_Snapshot!$N$2:$N$201,"Y")</f>
        <v>7</v>
      </c>
      <c r="J6" s="25" t="n">
        <f aca="false">AVERAGEIFS(Charts_Snapshot!$O$2:$O$201,Charts_Snapshot!$B$2:$B$201,A6)</f>
        <v>184.1</v>
      </c>
      <c r="K6" s="26" t="n">
        <f aca="false">AVERAGEIFS(Charts_Snapshot!$J$2:$J$201,Charts_Snapshot!$B$2:$B$201,A6)</f>
        <v>6.503</v>
      </c>
      <c r="L6" s="6" t="s">
        <v>1190</v>
      </c>
      <c r="M6" s="6" t="s">
        <v>1190</v>
      </c>
      <c r="N6" s="26" t="s">
        <v>1190</v>
      </c>
      <c r="O6" s="6" t="s">
        <v>1190</v>
      </c>
      <c r="P6" s="30" t="s">
        <v>1190</v>
      </c>
      <c r="Q6" s="30" t="s">
        <v>1190</v>
      </c>
      <c r="R6" s="6" t="s">
        <v>1190</v>
      </c>
      <c r="S6" s="6" t="s">
        <v>1182</v>
      </c>
      <c r="T6" s="6" t="s">
        <v>1182</v>
      </c>
      <c r="U6" s="30" t="s">
        <v>1182</v>
      </c>
      <c r="V6" s="3" t="s">
        <v>1191</v>
      </c>
    </row>
    <row r="7" customFormat="false" ht="23.85" hidden="false" customHeight="false" outlineLevel="0" collapsed="false">
      <c r="A7" s="6" t="s">
        <v>59</v>
      </c>
      <c r="B7" s="6" t="s">
        <v>60</v>
      </c>
      <c r="C7" s="8" t="n">
        <f aca="false">INDEX(Charts_Snapshot!$M$2:$M$201,MATCH(A7&amp;"|1",Charts_Snapshot!$A$2:$A$201,0))</f>
        <v>2468</v>
      </c>
      <c r="D7" s="8" t="n">
        <f aca="false">INDEX(Charts_Snapshot!$M$2:$M$201,MATCH(A7&amp;"|20",Charts_Snapshot!$A$2:$A$201,0))</f>
        <v>79982</v>
      </c>
      <c r="E7" s="10" t="n">
        <f aca="false">INDEX(Sales_Estimates!$O$10:$O$209,MATCH(A7&amp;"|1",Sales_Estimates!$A$10:$A$209,0))</f>
        <v>54.4326221922833</v>
      </c>
      <c r="F7" s="10" t="n">
        <f aca="false">INDEX(Sales_Estimates!$O$10:$O$209,MATCH(A7&amp;"|20",Sales_Estimates!$A$10:$A$209,0))</f>
        <v>2.05759951675152</v>
      </c>
      <c r="G7" s="6" t="n">
        <f aca="false">COUNTIFS(Charts_Snapshot!$B$2:$B$201,A7,Charts_Snapshot!$H$2:$H$201,"Indie*")</f>
        <v>6</v>
      </c>
      <c r="H7" s="6" t="n">
        <f aca="false">COUNTIFS(Charts_Snapshot!$B$2:$B$201,A7,Charts_Snapshot!$H$2:$H$201,"Indie*",Charts_Snapshot!$R$2:$R$201,"&lt;=18")</f>
        <v>3</v>
      </c>
      <c r="I7" s="6" t="n">
        <f aca="false">COUNTIFS(Charts_Snapshot!$B$2:$B$201,A7,Charts_Snapshot!$N$2:$N$201,"Y")</f>
        <v>10</v>
      </c>
      <c r="J7" s="25" t="n">
        <f aca="false">AVERAGEIFS(Charts_Snapshot!$O$2:$O$201,Charts_Snapshot!$B$2:$B$201,A7)</f>
        <v>263.65</v>
      </c>
      <c r="K7" s="26" t="n">
        <f aca="false">AVERAGEIFS(Charts_Snapshot!$J$2:$J$201,Charts_Snapshot!$B$2:$B$201,A7)</f>
        <v>7.59</v>
      </c>
      <c r="L7" s="27" t="n">
        <v>12</v>
      </c>
      <c r="M7" s="27" t="n">
        <v>1</v>
      </c>
      <c r="N7" s="28" t="n">
        <v>5.99</v>
      </c>
      <c r="O7" s="27" t="n">
        <v>192</v>
      </c>
      <c r="P7" s="29" t="n">
        <v>0.55</v>
      </c>
      <c r="Q7" s="29" t="n">
        <v>0.7333</v>
      </c>
      <c r="R7" s="27" t="s">
        <v>1184</v>
      </c>
      <c r="S7" s="6" t="s">
        <v>1182</v>
      </c>
      <c r="T7" s="6" t="s">
        <v>1182</v>
      </c>
      <c r="U7" s="30" t="s">
        <v>1182</v>
      </c>
      <c r="V7" s="3" t="s">
        <v>1192</v>
      </c>
    </row>
    <row r="8" customFormat="false" ht="23.85" hidden="false" customHeight="false" outlineLevel="0" collapsed="false">
      <c r="A8" s="6" t="s">
        <v>62</v>
      </c>
      <c r="B8" s="6" t="s">
        <v>63</v>
      </c>
      <c r="C8" s="8" t="n">
        <f aca="false">INDEX(Charts_Snapshot!$M$2:$M$201,MATCH(A8&amp;"|1",Charts_Snapshot!$A$2:$A$201,0))</f>
        <v>1930</v>
      </c>
      <c r="D8" s="8" t="n">
        <f aca="false">INDEX(Charts_Snapshot!$M$2:$M$201,MATCH(A8&amp;"|20",Charts_Snapshot!$A$2:$A$201,0))</f>
        <v>38918</v>
      </c>
      <c r="E8" s="10" t="n">
        <f aca="false">INDEX(Sales_Estimates!$O$10:$O$209,MATCH(A8&amp;"|1",Sales_Estimates!$A$10:$A$209,0))</f>
        <v>67.0809648350148</v>
      </c>
      <c r="F8" s="10" t="n">
        <f aca="false">INDEX(Sales_Estimates!$O$10:$O$209,MATCH(A8&amp;"|20",Sales_Estimates!$A$10:$A$209,0))</f>
        <v>5.13901022663035</v>
      </c>
      <c r="G8" s="6" t="n">
        <f aca="false">COUNTIFS(Charts_Snapshot!$B$2:$B$201,A8,Charts_Snapshot!$H$2:$H$201,"Indie*")</f>
        <v>4</v>
      </c>
      <c r="H8" s="6" t="n">
        <f aca="false">COUNTIFS(Charts_Snapshot!$B$2:$B$201,A8,Charts_Snapshot!$H$2:$H$201,"Indie*",Charts_Snapshot!$R$2:$R$201,"&lt;=18")</f>
        <v>3</v>
      </c>
      <c r="I8" s="6" t="n">
        <f aca="false">COUNTIFS(Charts_Snapshot!$B$2:$B$201,A8,Charts_Snapshot!$N$2:$N$201,"Y")</f>
        <v>11</v>
      </c>
      <c r="J8" s="25" t="n">
        <f aca="false">AVERAGEIFS(Charts_Snapshot!$O$2:$O$201,Charts_Snapshot!$B$2:$B$201,A8)</f>
        <v>305.95</v>
      </c>
      <c r="K8" s="26" t="n">
        <f aca="false">AVERAGEIFS(Charts_Snapshot!$J$2:$J$201,Charts_Snapshot!$B$2:$B$201,A8)</f>
        <v>7.19</v>
      </c>
      <c r="L8" s="6" t="s">
        <v>1190</v>
      </c>
      <c r="M8" s="6" t="s">
        <v>1190</v>
      </c>
      <c r="N8" s="26" t="s">
        <v>1190</v>
      </c>
      <c r="O8" s="6" t="s">
        <v>1190</v>
      </c>
      <c r="P8" s="30" t="s">
        <v>1190</v>
      </c>
      <c r="Q8" s="30" t="s">
        <v>1190</v>
      </c>
      <c r="R8" s="6" t="s">
        <v>1190</v>
      </c>
      <c r="S8" s="27" t="s">
        <v>1193</v>
      </c>
      <c r="T8" s="27" t="s">
        <v>1194</v>
      </c>
      <c r="U8" s="29" t="n">
        <v>0.7</v>
      </c>
      <c r="V8" s="3" t="s">
        <v>1195</v>
      </c>
    </row>
    <row r="9" customFormat="false" ht="23.85" hidden="false" customHeight="false" outlineLevel="0" collapsed="false">
      <c r="A9" s="6" t="s">
        <v>65</v>
      </c>
      <c r="B9" s="6" t="s">
        <v>66</v>
      </c>
      <c r="C9" s="8" t="n">
        <f aca="false">INDEX(Charts_Snapshot!$M$2:$M$201,MATCH(A9&amp;"|1",Charts_Snapshot!$A$2:$A$201,0))</f>
        <v>1984</v>
      </c>
      <c r="D9" s="8" t="n">
        <f aca="false">INDEX(Charts_Snapshot!$M$2:$M$201,MATCH(A9&amp;"|20",Charts_Snapshot!$A$2:$A$201,0))</f>
        <v>17516</v>
      </c>
      <c r="E9" s="10" t="n">
        <f aca="false">INDEX(Sales_Estimates!$O$10:$O$209,MATCH(A9&amp;"|1",Sales_Estimates!$A$10:$A$209,0))</f>
        <v>65.4634458843061</v>
      </c>
      <c r="F9" s="10" t="n">
        <f aca="false">INDEX(Sales_Estimates!$O$10:$O$209,MATCH(A9&amp;"|20",Sales_Estimates!$A$10:$A$209,0))</f>
        <v>11.4181319936058</v>
      </c>
      <c r="G9" s="6" t="n">
        <f aca="false">COUNTIFS(Charts_Snapshot!$B$2:$B$201,A9,Charts_Snapshot!$H$2:$H$201,"Indie*")</f>
        <v>6</v>
      </c>
      <c r="H9" s="6" t="n">
        <f aca="false">COUNTIFS(Charts_Snapshot!$B$2:$B$201,A9,Charts_Snapshot!$H$2:$H$201,"Indie*",Charts_Snapshot!$R$2:$R$201,"&lt;=18")</f>
        <v>6</v>
      </c>
      <c r="I9" s="6" t="n">
        <f aca="false">COUNTIFS(Charts_Snapshot!$B$2:$B$201,A9,Charts_Snapshot!$N$2:$N$201,"Y")</f>
        <v>8</v>
      </c>
      <c r="J9" s="25" t="n">
        <f aca="false">AVERAGEIFS(Charts_Snapshot!$O$2:$O$201,Charts_Snapshot!$B$2:$B$201,A9)</f>
        <v>318.25</v>
      </c>
      <c r="K9" s="26" t="n">
        <f aca="false">AVERAGEIFS(Charts_Snapshot!$J$2:$J$201,Charts_Snapshot!$B$2:$B$201,A9)</f>
        <v>5.542</v>
      </c>
      <c r="L9" s="27" t="n">
        <v>74</v>
      </c>
      <c r="M9" s="27" t="n">
        <v>3</v>
      </c>
      <c r="N9" s="28" t="n">
        <v>12.49</v>
      </c>
      <c r="O9" s="27" t="n">
        <v>320</v>
      </c>
      <c r="P9" s="29" t="n">
        <v>0.55</v>
      </c>
      <c r="Q9" s="29" t="n">
        <v>0.5667</v>
      </c>
      <c r="R9" s="27" t="s">
        <v>1184</v>
      </c>
      <c r="S9" s="6" t="s">
        <v>1182</v>
      </c>
      <c r="T9" s="6" t="s">
        <v>1182</v>
      </c>
      <c r="U9" s="30" t="s">
        <v>1182</v>
      </c>
      <c r="V9" s="3" t="s">
        <v>1196</v>
      </c>
    </row>
    <row r="10" customFormat="false" ht="23.85" hidden="false" customHeight="false" outlineLevel="0" collapsed="false">
      <c r="A10" s="6" t="s">
        <v>68</v>
      </c>
      <c r="B10" s="6" t="s">
        <v>69</v>
      </c>
      <c r="C10" s="8" t="n">
        <f aca="false">INDEX(Charts_Snapshot!$M$2:$M$201,MATCH(A10&amp;"|1",Charts_Snapshot!$A$2:$A$201,0))</f>
        <v>581</v>
      </c>
      <c r="D10" s="8" t="n">
        <f aca="false">INDEX(Charts_Snapshot!$M$2:$M$201,MATCH(A10&amp;"|20",Charts_Snapshot!$A$2:$A$201,0))</f>
        <v>12930</v>
      </c>
      <c r="E10" s="10" t="n">
        <f aca="false">INDEX(Sales_Estimates!$O$10:$O$209,MATCH(A10&amp;"|1",Sales_Estimates!$A$10:$A$209,0))</f>
        <v>233.050776655964</v>
      </c>
      <c r="F10" s="10" t="n">
        <f aca="false">INDEX(Sales_Estimates!$O$10:$O$209,MATCH(A10&amp;"|20",Sales_Estimates!$A$10:$A$209,0))</f>
        <v>15.4679040989946</v>
      </c>
      <c r="G10" s="6" t="n">
        <f aca="false">COUNTIFS(Charts_Snapshot!$B$2:$B$201,A10,Charts_Snapshot!$H$2:$H$201,"Indie*")</f>
        <v>1</v>
      </c>
      <c r="H10" s="6" t="n">
        <f aca="false">COUNTIFS(Charts_Snapshot!$B$2:$B$201,A10,Charts_Snapshot!$H$2:$H$201,"Indie*",Charts_Snapshot!$R$2:$R$201,"&lt;=18")</f>
        <v>1</v>
      </c>
      <c r="I10" s="6" t="n">
        <f aca="false">COUNTIFS(Charts_Snapshot!$B$2:$B$201,A10,Charts_Snapshot!$N$2:$N$201,"Y")</f>
        <v>5</v>
      </c>
      <c r="J10" s="25" t="n">
        <f aca="false">AVERAGEIFS(Charts_Snapshot!$O$2:$O$201,Charts_Snapshot!$B$2:$B$201,A10)</f>
        <v>427.35</v>
      </c>
      <c r="K10" s="26" t="n">
        <f aca="false">AVERAGEIFS(Charts_Snapshot!$J$2:$J$201,Charts_Snapshot!$B$2:$B$201,A10)</f>
        <v>5.7155</v>
      </c>
      <c r="L10" s="27" t="n">
        <v>15</v>
      </c>
      <c r="M10" s="27" t="n">
        <v>1</v>
      </c>
      <c r="N10" s="28" t="n">
        <v>7.05</v>
      </c>
      <c r="O10" s="27" t="n">
        <v>262</v>
      </c>
      <c r="P10" s="29" t="n">
        <v>0.3</v>
      </c>
      <c r="Q10" s="29" t="n">
        <v>0.4667</v>
      </c>
      <c r="R10" s="27" t="s">
        <v>1184</v>
      </c>
      <c r="S10" s="6" t="s">
        <v>1182</v>
      </c>
      <c r="T10" s="6" t="s">
        <v>1182</v>
      </c>
      <c r="U10" s="30" t="s">
        <v>1182</v>
      </c>
      <c r="V10" s="3" t="s">
        <v>1197</v>
      </c>
    </row>
    <row r="11" customFormat="false" ht="15" hidden="false" customHeight="false" outlineLevel="0" collapsed="false">
      <c r="A11" s="6" t="s">
        <v>71</v>
      </c>
      <c r="B11" s="6" t="s">
        <v>72</v>
      </c>
      <c r="C11" s="8" t="n">
        <f aca="false">INDEX(Charts_Snapshot!$M$2:$M$201,MATCH(A11&amp;"|1",Charts_Snapshot!$A$2:$A$201,0))</f>
        <v>25444</v>
      </c>
      <c r="D11" s="8" t="n">
        <f aca="false">INDEX(Charts_Snapshot!$M$2:$M$201,MATCH(A11&amp;"|20",Charts_Snapshot!$A$2:$A$201,0))</f>
        <v>170146</v>
      </c>
      <c r="E11" s="10" t="n">
        <f aca="false">INDEX(Sales_Estimates!$O$10:$O$209,MATCH(A11&amp;"|1",Sales_Estimates!$A$10:$A$209,0))</f>
        <v>7.86039930828486</v>
      </c>
      <c r="F11" s="10" t="n">
        <f aca="false">INDEX(Sales_Estimates!$O$10:$O$209,MATCH(A11&amp;"|20",Sales_Estimates!$A$10:$A$209,0))</f>
        <v>0.742953291758217</v>
      </c>
      <c r="G11" s="6" t="n">
        <f aca="false">COUNTIFS(Charts_Snapshot!$B$2:$B$201,A11,Charts_Snapshot!$H$2:$H$201,"Indie*")</f>
        <v>13</v>
      </c>
      <c r="H11" s="6" t="n">
        <f aca="false">COUNTIFS(Charts_Snapshot!$B$2:$B$201,A11,Charts_Snapshot!$H$2:$H$201,"Indie*",Charts_Snapshot!$R$2:$R$201,"&lt;=18")</f>
        <v>6</v>
      </c>
      <c r="I11" s="6" t="n">
        <f aca="false">COUNTIFS(Charts_Snapshot!$B$2:$B$201,A11,Charts_Snapshot!$N$2:$N$201,"Y")</f>
        <v>13</v>
      </c>
      <c r="J11" s="25" t="n">
        <f aca="false">AVERAGEIFS(Charts_Snapshot!$O$2:$O$201,Charts_Snapshot!$B$2:$B$201,A11)</f>
        <v>38</v>
      </c>
      <c r="K11" s="26" t="n">
        <f aca="false">AVERAGEIFS(Charts_Snapshot!$J$2:$J$201,Charts_Snapshot!$B$2:$B$201,A11)</f>
        <v>3.457</v>
      </c>
      <c r="L11" s="27" t="n">
        <v>4</v>
      </c>
      <c r="M11" s="27" t="n">
        <v>1</v>
      </c>
      <c r="N11" s="28" t="n">
        <v>2.99</v>
      </c>
      <c r="O11" s="27" t="n">
        <v>38</v>
      </c>
      <c r="P11" s="29" t="n">
        <v>0.6</v>
      </c>
      <c r="Q11" s="29" t="n">
        <v>0.7333</v>
      </c>
      <c r="R11" s="27" t="s">
        <v>1181</v>
      </c>
      <c r="S11" s="6" t="s">
        <v>1182</v>
      </c>
      <c r="T11" s="6" t="s">
        <v>1182</v>
      </c>
      <c r="U11" s="30" t="s">
        <v>1182</v>
      </c>
      <c r="V11" s="3" t="s">
        <v>1198</v>
      </c>
    </row>
    <row r="13" customFormat="false" ht="45" hidden="false" customHeight="true" outlineLevel="0" collapsed="false">
      <c r="A13" s="14" t="s">
        <v>1199</v>
      </c>
      <c r="B13" s="14"/>
      <c r="C13" s="14"/>
      <c r="D13" s="14"/>
      <c r="E13" s="14"/>
      <c r="F13" s="14"/>
      <c r="G13" s="14"/>
      <c r="H13" s="14"/>
      <c r="I13" s="14"/>
      <c r="J13" s="14"/>
      <c r="K13" s="14"/>
      <c r="L13" s="14"/>
    </row>
  </sheetData>
  <mergeCells count="1">
    <mergeCell ref="A13:L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3" min="3" style="0" width="13"/>
    <col collapsed="false" customWidth="true" hidden="false" outlineLevel="0" max="4" min="4" style="0" width="12"/>
    <col collapsed="false" customWidth="true" hidden="false" outlineLevel="0" max="5" min="5" style="0" width="11"/>
    <col collapsed="false" customWidth="true" hidden="false" outlineLevel="0" max="7" min="6" style="0" width="9"/>
    <col collapsed="false" customWidth="true" hidden="false" outlineLevel="0" max="9" min="8" style="0" width="12"/>
    <col collapsed="false" customWidth="true" hidden="false" outlineLevel="0" max="10" min="10" style="0" width="11"/>
    <col collapsed="false" customWidth="true" hidden="false" outlineLevel="0" max="11" min="11" style="0" width="16"/>
  </cols>
  <sheetData>
    <row r="1" customFormat="false" ht="35.05" hidden="false" customHeight="false" outlineLevel="0" collapsed="false">
      <c r="A1" s="4" t="s">
        <v>38</v>
      </c>
      <c r="B1" s="4" t="s">
        <v>1200</v>
      </c>
      <c r="C1" s="4" t="s">
        <v>1201</v>
      </c>
      <c r="D1" s="4" t="s">
        <v>1202</v>
      </c>
      <c r="E1" s="4" t="s">
        <v>1203</v>
      </c>
      <c r="F1" s="4" t="s">
        <v>1204</v>
      </c>
      <c r="G1" s="4" t="s">
        <v>1205</v>
      </c>
      <c r="H1" s="4" t="s">
        <v>1206</v>
      </c>
      <c r="I1" s="4" t="s">
        <v>1207</v>
      </c>
      <c r="J1" s="4" t="s">
        <v>1208</v>
      </c>
      <c r="K1" s="4" t="s">
        <v>1209</v>
      </c>
    </row>
    <row r="2" customFormat="false" ht="15" hidden="false" customHeight="false" outlineLevel="0" collapsed="false">
      <c r="A2" s="6" t="s">
        <v>42</v>
      </c>
      <c r="B2" s="6" t="n">
        <f aca="false">COUNTIFS(Charts_Snapshot!$B$2:$B$201,A2,Charts_Snapshot!$J$2:$J$201,"&lt;"&amp;Sales_Estimates!$B$4)</f>
        <v>6</v>
      </c>
      <c r="C2" s="6" t="n">
        <f aca="false">COUNTIFS(Charts_Snapshot!$B$2:$B$201,A2,Charts_Snapshot!$J$2:$J$201,"&gt;="&amp;Sales_Estimates!$B$4,Charts_Snapshot!$J$2:$J$201,"&lt;="&amp;Sales_Estimates!$B$5)</f>
        <v>14</v>
      </c>
      <c r="D2" s="6" t="n">
        <f aca="false">COUNTIFS(Charts_Snapshot!$B$2:$B$201,A2,Charts_Snapshot!$J$2:$J$201,"&gt;"&amp;Sales_Estimates!$B$5)</f>
        <v>0</v>
      </c>
      <c r="E2" s="30" t="n">
        <f aca="false">C2/SUM(B2:D2)</f>
        <v>0.7</v>
      </c>
      <c r="F2" s="6" t="n">
        <f aca="false">COUNTIFS(Charts_Snapshot!$B$2:$B$201,A2,Charts_Snapshot!$N$2:$N$201,"Y")</f>
        <v>13</v>
      </c>
      <c r="G2" s="30" t="n">
        <f aca="false">F2/20</f>
        <v>0.65</v>
      </c>
      <c r="H2" s="26" t="n">
        <f aca="false">AVERAGEIFS(Charts_Snapshot!$J$2:$J$201,Charts_Snapshot!$B$2:$B$201,A2)</f>
        <v>4.388</v>
      </c>
      <c r="I2" s="26" t="n">
        <f aca="false">IFERROR(AVERAGEIFS(Charts_Snapshot!$J$2:$J$201,Charts_Snapshot!$B$2:$B$201,A2,Charts_Snapshot!$H$2:$H$201,"Indie*"),"-")</f>
        <v>5.47</v>
      </c>
      <c r="J2" s="6" t="n">
        <f aca="false">COUNTIFS(Charts_Snapshot!$B$2:$B$201,A2,Charts_Snapshot!$H$2:$H$201,"Indie*",Charts_Snapshot!$N$2:$N$201,"Y")</f>
        <v>2</v>
      </c>
      <c r="K2" s="26" t="n">
        <f aca="false">150*Sales_Estimates!$B$7</f>
        <v>0.7755</v>
      </c>
    </row>
    <row r="3" customFormat="false" ht="15" hidden="false" customHeight="false" outlineLevel="0" collapsed="false">
      <c r="A3" s="6" t="s">
        <v>46</v>
      </c>
      <c r="B3" s="6" t="n">
        <f aca="false">COUNTIFS(Charts_Snapshot!$B$2:$B$201,A3,Charts_Snapshot!$J$2:$J$201,"&lt;"&amp;Sales_Estimates!$B$4)</f>
        <v>3</v>
      </c>
      <c r="C3" s="6" t="n">
        <f aca="false">COUNTIFS(Charts_Snapshot!$B$2:$B$201,A3,Charts_Snapshot!$J$2:$J$201,"&gt;="&amp;Sales_Estimates!$B$4,Charts_Snapshot!$J$2:$J$201,"&lt;="&amp;Sales_Estimates!$B$5)</f>
        <v>9</v>
      </c>
      <c r="D3" s="6" t="n">
        <f aca="false">COUNTIFS(Charts_Snapshot!$B$2:$B$201,A3,Charts_Snapshot!$J$2:$J$201,"&gt;"&amp;Sales_Estimates!$B$5)</f>
        <v>8</v>
      </c>
      <c r="E3" s="30" t="n">
        <f aca="false">C3/SUM(B3:D3)</f>
        <v>0.45</v>
      </c>
      <c r="F3" s="6" t="n">
        <f aca="false">COUNTIFS(Charts_Snapshot!$B$2:$B$201,A3,Charts_Snapshot!$N$2:$N$201,"Y")</f>
        <v>10</v>
      </c>
      <c r="G3" s="30" t="n">
        <f aca="false">F3/20</f>
        <v>0.5</v>
      </c>
      <c r="H3" s="26" t="n">
        <f aca="false">AVERAGEIFS(Charts_Snapshot!$J$2:$J$201,Charts_Snapshot!$B$2:$B$201,A3)</f>
        <v>8.615</v>
      </c>
      <c r="I3" s="26" t="n">
        <f aca="false">IFERROR(AVERAGEIFS(Charts_Snapshot!$J$2:$J$201,Charts_Snapshot!$B$2:$B$201,A3,Charts_Snapshot!$H$2:$H$201,"Indie*"),"-")</f>
        <v>3.79</v>
      </c>
      <c r="J3" s="6" t="n">
        <f aca="false">COUNTIFS(Charts_Snapshot!$B$2:$B$201,A3,Charts_Snapshot!$H$2:$H$201,"Indie*",Charts_Snapshot!$N$2:$N$201,"Y")</f>
        <v>3</v>
      </c>
      <c r="K3" s="26" t="n">
        <f aca="false">150*Sales_Estimates!$B$7</f>
        <v>0.7755</v>
      </c>
    </row>
    <row r="4" customFormat="false" ht="15" hidden="false" customHeight="false" outlineLevel="0" collapsed="false">
      <c r="A4" s="6" t="s">
        <v>49</v>
      </c>
      <c r="B4" s="6" t="n">
        <f aca="false">COUNTIFS(Charts_Snapshot!$B$2:$B$201,A4,Charts_Snapshot!$J$2:$J$201,"&lt;"&amp;Sales_Estimates!$B$4)</f>
        <v>5</v>
      </c>
      <c r="C4" s="6" t="n">
        <f aca="false">COUNTIFS(Charts_Snapshot!$B$2:$B$201,A4,Charts_Snapshot!$J$2:$J$201,"&gt;="&amp;Sales_Estimates!$B$4,Charts_Snapshot!$J$2:$J$201,"&lt;="&amp;Sales_Estimates!$B$5)</f>
        <v>11</v>
      </c>
      <c r="D4" s="6" t="n">
        <f aca="false">COUNTIFS(Charts_Snapshot!$B$2:$B$201,A4,Charts_Snapshot!$J$2:$J$201,"&gt;"&amp;Sales_Estimates!$B$5)</f>
        <v>4</v>
      </c>
      <c r="E4" s="30" t="n">
        <f aca="false">C4/SUM(B4:D4)</f>
        <v>0.55</v>
      </c>
      <c r="F4" s="6" t="n">
        <f aca="false">COUNTIFS(Charts_Snapshot!$B$2:$B$201,A4,Charts_Snapshot!$N$2:$N$201,"Y")</f>
        <v>9</v>
      </c>
      <c r="G4" s="30" t="n">
        <f aca="false">F4/20</f>
        <v>0.45</v>
      </c>
      <c r="H4" s="26" t="n">
        <f aca="false">AVERAGEIFS(Charts_Snapshot!$J$2:$J$201,Charts_Snapshot!$B$2:$B$201,A4)</f>
        <v>6.9925</v>
      </c>
      <c r="I4" s="26" t="n">
        <f aca="false">IFERROR(AVERAGEIFS(Charts_Snapshot!$J$2:$J$201,Charts_Snapshot!$B$2:$B$201,A4,Charts_Snapshot!$H$2:$H$201,"Indie*"),"-")</f>
        <v>5.79</v>
      </c>
      <c r="J4" s="6" t="n">
        <f aca="false">COUNTIFS(Charts_Snapshot!$B$2:$B$201,A4,Charts_Snapshot!$H$2:$H$201,"Indie*",Charts_Snapshot!$N$2:$N$201,"Y")</f>
        <v>2</v>
      </c>
      <c r="K4" s="26" t="n">
        <f aca="false">150*Sales_Estimates!$B$7</f>
        <v>0.7755</v>
      </c>
    </row>
    <row r="5" customFormat="false" ht="15" hidden="false" customHeight="false" outlineLevel="0" collapsed="false">
      <c r="A5" s="6" t="s">
        <v>52</v>
      </c>
      <c r="B5" s="6" t="n">
        <f aca="false">COUNTIFS(Charts_Snapshot!$B$2:$B$201,A5,Charts_Snapshot!$J$2:$J$201,"&lt;"&amp;Sales_Estimates!$B$4)</f>
        <v>3</v>
      </c>
      <c r="C5" s="6" t="n">
        <f aca="false">COUNTIFS(Charts_Snapshot!$B$2:$B$201,A5,Charts_Snapshot!$J$2:$J$201,"&gt;="&amp;Sales_Estimates!$B$4,Charts_Snapshot!$J$2:$J$201,"&lt;="&amp;Sales_Estimates!$B$5)</f>
        <v>12</v>
      </c>
      <c r="D5" s="6" t="n">
        <f aca="false">COUNTIFS(Charts_Snapshot!$B$2:$B$201,A5,Charts_Snapshot!$J$2:$J$201,"&gt;"&amp;Sales_Estimates!$B$5)</f>
        <v>5</v>
      </c>
      <c r="E5" s="30" t="n">
        <f aca="false">C5/SUM(B5:D5)</f>
        <v>0.6</v>
      </c>
      <c r="F5" s="6" t="n">
        <f aca="false">COUNTIFS(Charts_Snapshot!$B$2:$B$201,A5,Charts_Snapshot!$N$2:$N$201,"Y")</f>
        <v>5</v>
      </c>
      <c r="G5" s="30" t="n">
        <f aca="false">F5/20</f>
        <v>0.25</v>
      </c>
      <c r="H5" s="26" t="n">
        <f aca="false">AVERAGEIFS(Charts_Snapshot!$J$2:$J$201,Charts_Snapshot!$B$2:$B$201,A5)</f>
        <v>7.907</v>
      </c>
      <c r="I5" s="26" t="n">
        <f aca="false">IFERROR(AVERAGEIFS(Charts_Snapshot!$J$2:$J$201,Charts_Snapshot!$B$2:$B$201,A5,Charts_Snapshot!$H$2:$H$201,"Indie*"),"-")</f>
        <v>2.99</v>
      </c>
      <c r="J5" s="6" t="n">
        <f aca="false">COUNTIFS(Charts_Snapshot!$B$2:$B$201,A5,Charts_Snapshot!$H$2:$H$201,"Indie*",Charts_Snapshot!$N$2:$N$201,"Y")</f>
        <v>1</v>
      </c>
      <c r="K5" s="26" t="n">
        <f aca="false">150*Sales_Estimates!$B$7</f>
        <v>0.7755</v>
      </c>
    </row>
    <row r="6" customFormat="false" ht="15" hidden="false" customHeight="false" outlineLevel="0" collapsed="false">
      <c r="A6" s="6" t="s">
        <v>56</v>
      </c>
      <c r="B6" s="6" t="n">
        <f aca="false">COUNTIFS(Charts_Snapshot!$B$2:$B$201,A6,Charts_Snapshot!$J$2:$J$201,"&lt;"&amp;Sales_Estimates!$B$4)</f>
        <v>7</v>
      </c>
      <c r="C6" s="6" t="n">
        <f aca="false">COUNTIFS(Charts_Snapshot!$B$2:$B$201,A6,Charts_Snapshot!$J$2:$J$201,"&gt;="&amp;Sales_Estimates!$B$4,Charts_Snapshot!$J$2:$J$201,"&lt;="&amp;Sales_Estimates!$B$5)</f>
        <v>10</v>
      </c>
      <c r="D6" s="6" t="n">
        <f aca="false">COUNTIFS(Charts_Snapshot!$B$2:$B$201,A6,Charts_Snapshot!$J$2:$J$201,"&gt;"&amp;Sales_Estimates!$B$5)</f>
        <v>3</v>
      </c>
      <c r="E6" s="30" t="n">
        <f aca="false">C6/SUM(B6:D6)</f>
        <v>0.5</v>
      </c>
      <c r="F6" s="6" t="n">
        <f aca="false">COUNTIFS(Charts_Snapshot!$B$2:$B$201,A6,Charts_Snapshot!$N$2:$N$201,"Y")</f>
        <v>7</v>
      </c>
      <c r="G6" s="30" t="n">
        <f aca="false">F6/20</f>
        <v>0.35</v>
      </c>
      <c r="H6" s="26" t="n">
        <f aca="false">AVERAGEIFS(Charts_Snapshot!$J$2:$J$201,Charts_Snapshot!$B$2:$B$201,A6)</f>
        <v>6.503</v>
      </c>
      <c r="I6" s="26" t="n">
        <f aca="false">IFERROR(AVERAGEIFS(Charts_Snapshot!$J$2:$J$201,Charts_Snapshot!$B$2:$B$201,A6,Charts_Snapshot!$H$2:$H$201,"Indie*"),"-")</f>
        <v>6.435</v>
      </c>
      <c r="J6" s="6" t="n">
        <f aca="false">COUNTIFS(Charts_Snapshot!$B$2:$B$201,A6,Charts_Snapshot!$H$2:$H$201,"Indie*",Charts_Snapshot!$N$2:$N$201,"Y")</f>
        <v>2</v>
      </c>
      <c r="K6" s="26" t="n">
        <f aca="false">150*Sales_Estimates!$B$7</f>
        <v>0.7755</v>
      </c>
    </row>
    <row r="7" customFormat="false" ht="15" hidden="false" customHeight="false" outlineLevel="0" collapsed="false">
      <c r="A7" s="6" t="s">
        <v>59</v>
      </c>
      <c r="B7" s="6" t="n">
        <f aca="false">COUNTIFS(Charts_Snapshot!$B$2:$B$201,A7,Charts_Snapshot!$J$2:$J$201,"&lt;"&amp;Sales_Estimates!$B$4)</f>
        <v>3</v>
      </c>
      <c r="C7" s="6" t="n">
        <f aca="false">COUNTIFS(Charts_Snapshot!$B$2:$B$201,A7,Charts_Snapshot!$J$2:$J$201,"&gt;="&amp;Sales_Estimates!$B$4,Charts_Snapshot!$J$2:$J$201,"&lt;="&amp;Sales_Estimates!$B$5)</f>
        <v>15</v>
      </c>
      <c r="D7" s="6" t="n">
        <f aca="false">COUNTIFS(Charts_Snapshot!$B$2:$B$201,A7,Charts_Snapshot!$J$2:$J$201,"&gt;"&amp;Sales_Estimates!$B$5)</f>
        <v>2</v>
      </c>
      <c r="E7" s="30" t="n">
        <f aca="false">C7/SUM(B7:D7)</f>
        <v>0.75</v>
      </c>
      <c r="F7" s="6" t="n">
        <f aca="false">COUNTIFS(Charts_Snapshot!$B$2:$B$201,A7,Charts_Snapshot!$N$2:$N$201,"Y")</f>
        <v>10</v>
      </c>
      <c r="G7" s="30" t="n">
        <f aca="false">F7/20</f>
        <v>0.5</v>
      </c>
      <c r="H7" s="26" t="n">
        <f aca="false">AVERAGEIFS(Charts_Snapshot!$J$2:$J$201,Charts_Snapshot!$B$2:$B$201,A7)</f>
        <v>7.59</v>
      </c>
      <c r="I7" s="26" t="n">
        <f aca="false">IFERROR(AVERAGEIFS(Charts_Snapshot!$J$2:$J$201,Charts_Snapshot!$B$2:$B$201,A7,Charts_Snapshot!$H$2:$H$201,"Indie*"),"-")</f>
        <v>5.49</v>
      </c>
      <c r="J7" s="6" t="n">
        <f aca="false">COUNTIFS(Charts_Snapshot!$B$2:$B$201,A7,Charts_Snapshot!$H$2:$H$201,"Indie*",Charts_Snapshot!$N$2:$N$201,"Y")</f>
        <v>5</v>
      </c>
      <c r="K7" s="26" t="n">
        <f aca="false">150*Sales_Estimates!$B$7</f>
        <v>0.7755</v>
      </c>
    </row>
    <row r="8" customFormat="false" ht="15" hidden="false" customHeight="false" outlineLevel="0" collapsed="false">
      <c r="A8" s="6" t="s">
        <v>62</v>
      </c>
      <c r="B8" s="6" t="n">
        <f aca="false">COUNTIFS(Charts_Snapshot!$B$2:$B$201,A8,Charts_Snapshot!$J$2:$J$201,"&lt;"&amp;Sales_Estimates!$B$4)</f>
        <v>2</v>
      </c>
      <c r="C8" s="6" t="n">
        <f aca="false">COUNTIFS(Charts_Snapshot!$B$2:$B$201,A8,Charts_Snapshot!$J$2:$J$201,"&gt;="&amp;Sales_Estimates!$B$4,Charts_Snapshot!$J$2:$J$201,"&lt;="&amp;Sales_Estimates!$B$5)</f>
        <v>16</v>
      </c>
      <c r="D8" s="6" t="n">
        <f aca="false">COUNTIFS(Charts_Snapshot!$B$2:$B$201,A8,Charts_Snapshot!$J$2:$J$201,"&gt;"&amp;Sales_Estimates!$B$5)</f>
        <v>2</v>
      </c>
      <c r="E8" s="30" t="n">
        <f aca="false">C8/SUM(B8:D8)</f>
        <v>0.8</v>
      </c>
      <c r="F8" s="6" t="n">
        <f aca="false">COUNTIFS(Charts_Snapshot!$B$2:$B$201,A8,Charts_Snapshot!$N$2:$N$201,"Y")</f>
        <v>11</v>
      </c>
      <c r="G8" s="30" t="n">
        <f aca="false">F8/20</f>
        <v>0.55</v>
      </c>
      <c r="H8" s="26" t="n">
        <f aca="false">AVERAGEIFS(Charts_Snapshot!$J$2:$J$201,Charts_Snapshot!$B$2:$B$201,A8)</f>
        <v>7.19</v>
      </c>
      <c r="I8" s="26" t="n">
        <f aca="false">IFERROR(AVERAGEIFS(Charts_Snapshot!$J$2:$J$201,Charts_Snapshot!$B$2:$B$201,A8,Charts_Snapshot!$H$2:$H$201,"Indie*"),"-")</f>
        <v>6.49</v>
      </c>
      <c r="J8" s="6" t="n">
        <f aca="false">COUNTIFS(Charts_Snapshot!$B$2:$B$201,A8,Charts_Snapshot!$H$2:$H$201,"Indie*",Charts_Snapshot!$N$2:$N$201,"Y")</f>
        <v>4</v>
      </c>
      <c r="K8" s="26" t="n">
        <f aca="false">150*Sales_Estimates!$B$7</f>
        <v>0.7755</v>
      </c>
    </row>
    <row r="9" customFormat="false" ht="15" hidden="false" customHeight="false" outlineLevel="0" collapsed="false">
      <c r="A9" s="6" t="s">
        <v>65</v>
      </c>
      <c r="B9" s="6" t="n">
        <f aca="false">COUNTIFS(Charts_Snapshot!$B$2:$B$201,A9,Charts_Snapshot!$J$2:$J$201,"&lt;"&amp;Sales_Estimates!$B$4)</f>
        <v>9</v>
      </c>
      <c r="C9" s="6" t="n">
        <f aca="false">COUNTIFS(Charts_Snapshot!$B$2:$B$201,A9,Charts_Snapshot!$J$2:$J$201,"&gt;="&amp;Sales_Estimates!$B$4,Charts_Snapshot!$J$2:$J$201,"&lt;="&amp;Sales_Estimates!$B$5)</f>
        <v>8</v>
      </c>
      <c r="D9" s="6" t="n">
        <f aca="false">COUNTIFS(Charts_Snapshot!$B$2:$B$201,A9,Charts_Snapshot!$J$2:$J$201,"&gt;"&amp;Sales_Estimates!$B$5)</f>
        <v>3</v>
      </c>
      <c r="E9" s="30" t="n">
        <f aca="false">C9/SUM(B9:D9)</f>
        <v>0.4</v>
      </c>
      <c r="F9" s="6" t="n">
        <f aca="false">COUNTIFS(Charts_Snapshot!$B$2:$B$201,A9,Charts_Snapshot!$N$2:$N$201,"Y")</f>
        <v>8</v>
      </c>
      <c r="G9" s="30" t="n">
        <f aca="false">F9/20</f>
        <v>0.4</v>
      </c>
      <c r="H9" s="26" t="n">
        <f aca="false">AVERAGEIFS(Charts_Snapshot!$J$2:$J$201,Charts_Snapshot!$B$2:$B$201,A9)</f>
        <v>5.542</v>
      </c>
      <c r="I9" s="26" t="n">
        <f aca="false">IFERROR(AVERAGEIFS(Charts_Snapshot!$J$2:$J$201,Charts_Snapshot!$B$2:$B$201,A9,Charts_Snapshot!$H$2:$H$201,"Indie*"),"-")</f>
        <v>4.49666666666667</v>
      </c>
      <c r="J9" s="6" t="n">
        <f aca="false">COUNTIFS(Charts_Snapshot!$B$2:$B$201,A9,Charts_Snapshot!$H$2:$H$201,"Indie*",Charts_Snapshot!$N$2:$N$201,"Y")</f>
        <v>4</v>
      </c>
      <c r="K9" s="26" t="n">
        <f aca="false">150*Sales_Estimates!$B$7</f>
        <v>0.7755</v>
      </c>
    </row>
    <row r="10" customFormat="false" ht="15" hidden="false" customHeight="false" outlineLevel="0" collapsed="false">
      <c r="A10" s="6" t="s">
        <v>68</v>
      </c>
      <c r="B10" s="6" t="n">
        <f aca="false">COUNTIFS(Charts_Snapshot!$B$2:$B$201,A10,Charts_Snapshot!$J$2:$J$201,"&lt;"&amp;Sales_Estimates!$B$4)</f>
        <v>7</v>
      </c>
      <c r="C10" s="6" t="n">
        <f aca="false">COUNTIFS(Charts_Snapshot!$B$2:$B$201,A10,Charts_Snapshot!$J$2:$J$201,"&gt;="&amp;Sales_Estimates!$B$4,Charts_Snapshot!$J$2:$J$201,"&lt;="&amp;Sales_Estimates!$B$5)</f>
        <v>10</v>
      </c>
      <c r="D10" s="6" t="n">
        <f aca="false">COUNTIFS(Charts_Snapshot!$B$2:$B$201,A10,Charts_Snapshot!$J$2:$J$201,"&gt;"&amp;Sales_Estimates!$B$5)</f>
        <v>3</v>
      </c>
      <c r="E10" s="30" t="n">
        <f aca="false">C10/SUM(B10:D10)</f>
        <v>0.5</v>
      </c>
      <c r="F10" s="6" t="n">
        <f aca="false">COUNTIFS(Charts_Snapshot!$B$2:$B$201,A10,Charts_Snapshot!$N$2:$N$201,"Y")</f>
        <v>5</v>
      </c>
      <c r="G10" s="30" t="n">
        <f aca="false">F10/20</f>
        <v>0.25</v>
      </c>
      <c r="H10" s="26" t="n">
        <f aca="false">AVERAGEIFS(Charts_Snapshot!$J$2:$J$201,Charts_Snapshot!$B$2:$B$201,A10)</f>
        <v>5.7155</v>
      </c>
      <c r="I10" s="26" t="n">
        <f aca="false">IFERROR(AVERAGEIFS(Charts_Snapshot!$J$2:$J$201,Charts_Snapshot!$B$2:$B$201,A10,Charts_Snapshot!$H$2:$H$201,"Indie*"),"-")</f>
        <v>0.99</v>
      </c>
      <c r="J10" s="6" t="n">
        <f aca="false">COUNTIFS(Charts_Snapshot!$B$2:$B$201,A10,Charts_Snapshot!$H$2:$H$201,"Indie*",Charts_Snapshot!$N$2:$N$201,"Y")</f>
        <v>1</v>
      </c>
      <c r="K10" s="26" t="n">
        <f aca="false">150*Sales_Estimates!$B$7</f>
        <v>0.7755</v>
      </c>
    </row>
    <row r="11" customFormat="false" ht="15" hidden="false" customHeight="false" outlineLevel="0" collapsed="false">
      <c r="A11" s="6" t="s">
        <v>71</v>
      </c>
      <c r="B11" s="6" t="n">
        <f aca="false">COUNTIFS(Charts_Snapshot!$B$2:$B$201,A11,Charts_Snapshot!$J$2:$J$201,"&lt;"&amp;Sales_Estimates!$B$4)</f>
        <v>8</v>
      </c>
      <c r="C11" s="6" t="n">
        <f aca="false">COUNTIFS(Charts_Snapshot!$B$2:$B$201,A11,Charts_Snapshot!$J$2:$J$201,"&gt;="&amp;Sales_Estimates!$B$4,Charts_Snapshot!$J$2:$J$201,"&lt;="&amp;Sales_Estimates!$B$5)</f>
        <v>12</v>
      </c>
      <c r="D11" s="6" t="n">
        <f aca="false">COUNTIFS(Charts_Snapshot!$B$2:$B$201,A11,Charts_Snapshot!$J$2:$J$201,"&gt;"&amp;Sales_Estimates!$B$5)</f>
        <v>0</v>
      </c>
      <c r="E11" s="30" t="n">
        <f aca="false">C11/SUM(B11:D11)</f>
        <v>0.6</v>
      </c>
      <c r="F11" s="6" t="n">
        <f aca="false">COUNTIFS(Charts_Snapshot!$B$2:$B$201,A11,Charts_Snapshot!$N$2:$N$201,"Y")</f>
        <v>13</v>
      </c>
      <c r="G11" s="30" t="n">
        <f aca="false">F11/20</f>
        <v>0.65</v>
      </c>
      <c r="H11" s="26" t="n">
        <f aca="false">AVERAGEIFS(Charts_Snapshot!$J$2:$J$201,Charts_Snapshot!$B$2:$B$201,A11)</f>
        <v>3.457</v>
      </c>
      <c r="I11" s="26" t="n">
        <f aca="false">IFERROR(AVERAGEIFS(Charts_Snapshot!$J$2:$J$201,Charts_Snapshot!$B$2:$B$201,A11,Charts_Snapshot!$H$2:$H$201,"Indie*"),"-")</f>
        <v>3.98307692307692</v>
      </c>
      <c r="J11" s="6" t="n">
        <f aca="false">COUNTIFS(Charts_Snapshot!$B$2:$B$201,A11,Charts_Snapshot!$H$2:$H$201,"Indie*",Charts_Snapshot!$N$2:$N$201,"Y")</f>
        <v>10</v>
      </c>
      <c r="K11" s="26" t="n">
        <f aca="false">150*Sales_Estimates!$B$7</f>
        <v>0.7755</v>
      </c>
    </row>
    <row r="13" customFormat="false" ht="45" hidden="false" customHeight="true" outlineLevel="0" collapsed="false">
      <c r="A13" s="14" t="s">
        <v>1210</v>
      </c>
      <c r="B13" s="14"/>
      <c r="C13" s="14"/>
      <c r="D13" s="14"/>
      <c r="E13" s="14"/>
      <c r="F13" s="14"/>
      <c r="G13" s="14"/>
      <c r="H13" s="14"/>
      <c r="I13" s="14"/>
      <c r="J13" s="14"/>
      <c r="K13" s="14"/>
    </row>
  </sheetData>
  <mergeCells count="1">
    <mergeCell ref="A13:K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40"/>
    <col collapsed="false" customWidth="true" hidden="false" outlineLevel="0" max="4" min="4" style="0" width="20"/>
    <col collapsed="false" customWidth="true" hidden="false" outlineLevel="0" max="5" min="5" style="0" width="24"/>
    <col collapsed="false" customWidth="true" hidden="false" outlineLevel="0" max="6" min="6" style="0" width="6"/>
    <col collapsed="false" customWidth="true" hidden="false" outlineLevel="0" max="7" min="7" style="0" width="44"/>
    <col collapsed="false" customWidth="true" hidden="false" outlineLevel="0" max="8" min="8" style="0" width="70"/>
    <col collapsed="false" customWidth="true" hidden="false" outlineLevel="0" max="9" min="9" style="0" width="34"/>
  </cols>
  <sheetData>
    <row r="1" customFormat="false" ht="15" hidden="false" customHeight="false" outlineLevel="0" collapsed="false">
      <c r="A1" s="15" t="s">
        <v>1211</v>
      </c>
    </row>
    <row r="2" customFormat="false" ht="15" hidden="false" customHeight="false" outlineLevel="0" collapsed="false">
      <c r="A2" s="4" t="s">
        <v>1212</v>
      </c>
      <c r="B2" s="4" t="s">
        <v>1213</v>
      </c>
      <c r="C2" s="4" t="s">
        <v>1214</v>
      </c>
    </row>
    <row r="3" customFormat="false" ht="46.25" hidden="false" customHeight="false" outlineLevel="0" collapsed="false">
      <c r="A3" s="3" t="s">
        <v>1215</v>
      </c>
      <c r="B3" s="6" t="n">
        <f aca="false">COUNTIF($G$18:$G$83,A3)</f>
        <v>5</v>
      </c>
      <c r="C3" s="3" t="s">
        <v>1216</v>
      </c>
    </row>
    <row r="4" customFormat="false" ht="35.05" hidden="false" customHeight="false" outlineLevel="0" collapsed="false">
      <c r="A4" s="3" t="s">
        <v>1217</v>
      </c>
      <c r="B4" s="6" t="n">
        <f aca="false">COUNTIF($G$18:$G$83,A4)</f>
        <v>5</v>
      </c>
      <c r="C4" s="3" t="s">
        <v>1218</v>
      </c>
    </row>
    <row r="5" customFormat="false" ht="46.25" hidden="false" customHeight="false" outlineLevel="0" collapsed="false">
      <c r="A5" s="3" t="s">
        <v>1219</v>
      </c>
      <c r="B5" s="6" t="n">
        <f aca="false">COUNTIF($G$18:$G$83,A5)</f>
        <v>7</v>
      </c>
      <c r="C5" s="3" t="s">
        <v>1220</v>
      </c>
    </row>
    <row r="6" customFormat="false" ht="57.45" hidden="false" customHeight="false" outlineLevel="0" collapsed="false">
      <c r="A6" s="3" t="s">
        <v>1221</v>
      </c>
      <c r="B6" s="6" t="n">
        <f aca="false">COUNTIF($G$18:$G$83,A6)</f>
        <v>5</v>
      </c>
      <c r="C6" s="3"/>
    </row>
    <row r="7" customFormat="false" ht="46.25" hidden="false" customHeight="false" outlineLevel="0" collapsed="false">
      <c r="A7" s="3" t="s">
        <v>1222</v>
      </c>
      <c r="B7" s="6" t="n">
        <f aca="false">COUNTIF($G$18:$G$83,A7)</f>
        <v>2</v>
      </c>
      <c r="C7" s="3"/>
    </row>
    <row r="8" customFormat="false" ht="46.25" hidden="false" customHeight="false" outlineLevel="0" collapsed="false">
      <c r="A8" s="3" t="s">
        <v>1223</v>
      </c>
      <c r="B8" s="6" t="n">
        <f aca="false">COUNTIF($G$18:$G$83,A8)</f>
        <v>6</v>
      </c>
      <c r="C8" s="3"/>
    </row>
    <row r="9" customFormat="false" ht="57.45" hidden="false" customHeight="false" outlineLevel="0" collapsed="false">
      <c r="A9" s="3" t="s">
        <v>1224</v>
      </c>
      <c r="B9" s="6" t="n">
        <f aca="false">COUNTIF($G$18:$G$83,A9)</f>
        <v>4</v>
      </c>
      <c r="C9" s="3"/>
    </row>
    <row r="10" customFormat="false" ht="46.25" hidden="false" customHeight="false" outlineLevel="0" collapsed="false">
      <c r="A10" s="3" t="s">
        <v>1225</v>
      </c>
      <c r="B10" s="6" t="n">
        <f aca="false">COUNTIF($G$18:$G$83,A10)</f>
        <v>5</v>
      </c>
      <c r="C10" s="3" t="s">
        <v>1226</v>
      </c>
    </row>
    <row r="11" customFormat="false" ht="46.25" hidden="false" customHeight="false" outlineLevel="0" collapsed="false">
      <c r="A11" s="3" t="s">
        <v>1227</v>
      </c>
      <c r="B11" s="6" t="n">
        <f aca="false">COUNTIF($G$18:$G$83,A11)</f>
        <v>1</v>
      </c>
      <c r="C11" s="3"/>
    </row>
    <row r="12" customFormat="false" ht="35.05" hidden="false" customHeight="false" outlineLevel="0" collapsed="false">
      <c r="A12" s="3" t="s">
        <v>1228</v>
      </c>
      <c r="B12" s="6" t="n">
        <f aca="false">COUNTIF($G$18:$G$83,A12)</f>
        <v>6</v>
      </c>
      <c r="C12" s="3"/>
    </row>
    <row r="13" customFormat="false" ht="68.65" hidden="false" customHeight="false" outlineLevel="0" collapsed="false">
      <c r="A13" s="3" t="s">
        <v>1229</v>
      </c>
      <c r="B13" s="6" t="n">
        <f aca="false">COUNTIF($G$18:$G$83,A13)</f>
        <v>2</v>
      </c>
      <c r="C13" s="3"/>
    </row>
    <row r="14" customFormat="false" ht="57.45" hidden="false" customHeight="false" outlineLevel="0" collapsed="false">
      <c r="A14" s="3" t="s">
        <v>1230</v>
      </c>
      <c r="B14" s="6" t="n">
        <f aca="false">COUNTIF($G$18:$G$83,A14)</f>
        <v>18</v>
      </c>
      <c r="C14" s="3"/>
    </row>
    <row r="16" customFormat="false" ht="15" hidden="false" customHeight="false" outlineLevel="0" collapsed="false">
      <c r="A16" s="15" t="s">
        <v>1231</v>
      </c>
    </row>
    <row r="17" customFormat="false" ht="15" hidden="false" customHeight="false" outlineLevel="0" collapsed="false">
      <c r="A17" s="4" t="s">
        <v>1232</v>
      </c>
      <c r="B17" s="4" t="s">
        <v>38</v>
      </c>
      <c r="C17" s="4" t="s">
        <v>96</v>
      </c>
      <c r="D17" s="4" t="s">
        <v>97</v>
      </c>
      <c r="E17" s="4" t="s">
        <v>1144</v>
      </c>
      <c r="F17" s="4" t="s">
        <v>102</v>
      </c>
      <c r="G17" s="4" t="s">
        <v>1212</v>
      </c>
      <c r="H17" s="4" t="s">
        <v>1233</v>
      </c>
      <c r="I17" s="4" t="s">
        <v>1234</v>
      </c>
    </row>
    <row r="18" customFormat="false" ht="23.85" hidden="false" customHeight="false" outlineLevel="0" collapsed="false">
      <c r="A18" s="6" t="s">
        <v>1235</v>
      </c>
      <c r="B18" s="6" t="s">
        <v>49</v>
      </c>
      <c r="C18" s="3" t="s">
        <v>357</v>
      </c>
      <c r="D18" s="6" t="s">
        <v>358</v>
      </c>
      <c r="E18" s="6" t="s">
        <v>117</v>
      </c>
      <c r="F18" s="6" t="n">
        <v>2</v>
      </c>
      <c r="G18" s="6" t="s">
        <v>1215</v>
      </c>
      <c r="H18" s="3" t="s">
        <v>1236</v>
      </c>
      <c r="I18" s="6" t="s">
        <v>1237</v>
      </c>
    </row>
    <row r="19" customFormat="false" ht="23.85" hidden="false" customHeight="false" outlineLevel="0" collapsed="false">
      <c r="A19" s="6" t="s">
        <v>1235</v>
      </c>
      <c r="B19" s="6" t="s">
        <v>49</v>
      </c>
      <c r="C19" s="3" t="s">
        <v>417</v>
      </c>
      <c r="D19" s="6" t="s">
        <v>418</v>
      </c>
      <c r="E19" s="6" t="s">
        <v>117</v>
      </c>
      <c r="F19" s="6" t="n">
        <v>1</v>
      </c>
      <c r="G19" s="6" t="s">
        <v>1215</v>
      </c>
      <c r="H19" s="3" t="s">
        <v>1238</v>
      </c>
      <c r="I19" s="6" t="s">
        <v>1239</v>
      </c>
    </row>
    <row r="20" customFormat="false" ht="35.05" hidden="false" customHeight="false" outlineLevel="0" collapsed="false">
      <c r="A20" s="6" t="s">
        <v>1235</v>
      </c>
      <c r="B20" s="6" t="s">
        <v>52</v>
      </c>
      <c r="C20" s="3" t="s">
        <v>490</v>
      </c>
      <c r="D20" s="6" t="s">
        <v>491</v>
      </c>
      <c r="E20" s="6" t="s">
        <v>117</v>
      </c>
      <c r="F20" s="6" t="n">
        <v>1</v>
      </c>
      <c r="G20" s="6" t="s">
        <v>1215</v>
      </c>
      <c r="H20" s="3" t="s">
        <v>1240</v>
      </c>
      <c r="I20" s="6" t="s">
        <v>1241</v>
      </c>
    </row>
    <row r="21" customFormat="false" ht="35.05" hidden="false" customHeight="false" outlineLevel="0" collapsed="false">
      <c r="A21" s="6" t="s">
        <v>1235</v>
      </c>
      <c r="B21" s="6" t="s">
        <v>56</v>
      </c>
      <c r="C21" s="3" t="s">
        <v>559</v>
      </c>
      <c r="D21" s="6" t="s">
        <v>560</v>
      </c>
      <c r="E21" s="6" t="s">
        <v>152</v>
      </c>
      <c r="F21" s="6" t="n">
        <v>3</v>
      </c>
      <c r="G21" s="6" t="s">
        <v>1215</v>
      </c>
      <c r="H21" s="3" t="s">
        <v>1242</v>
      </c>
      <c r="I21" s="6" t="s">
        <v>1243</v>
      </c>
    </row>
    <row r="22" customFormat="false" ht="57.45" hidden="false" customHeight="false" outlineLevel="0" collapsed="false">
      <c r="A22" s="6" t="s">
        <v>1235</v>
      </c>
      <c r="B22" s="6" t="s">
        <v>62</v>
      </c>
      <c r="C22" s="3" t="s">
        <v>811</v>
      </c>
      <c r="D22" s="6" t="s">
        <v>812</v>
      </c>
      <c r="E22" s="6" t="s">
        <v>205</v>
      </c>
      <c r="F22" s="6" t="n">
        <v>2</v>
      </c>
      <c r="G22" s="6" t="s">
        <v>1215</v>
      </c>
      <c r="H22" s="3" t="s">
        <v>1244</v>
      </c>
      <c r="I22" s="6" t="s">
        <v>1245</v>
      </c>
    </row>
    <row r="23" customFormat="false" ht="35.05" hidden="false" customHeight="false" outlineLevel="0" collapsed="false">
      <c r="A23" s="6" t="s">
        <v>1235</v>
      </c>
      <c r="B23" s="6" t="s">
        <v>49</v>
      </c>
      <c r="C23" s="3" t="s">
        <v>368</v>
      </c>
      <c r="D23" s="6" t="s">
        <v>369</v>
      </c>
      <c r="E23" s="6" t="s">
        <v>205</v>
      </c>
      <c r="F23" s="6" t="n">
        <v>1</v>
      </c>
      <c r="G23" s="6" t="s">
        <v>1217</v>
      </c>
      <c r="H23" s="3" t="s">
        <v>1246</v>
      </c>
      <c r="I23" s="6" t="s">
        <v>1247</v>
      </c>
    </row>
    <row r="24" customFormat="false" ht="15" hidden="false" customHeight="false" outlineLevel="0" collapsed="false">
      <c r="A24" s="6" t="s">
        <v>1235</v>
      </c>
      <c r="B24" s="6" t="s">
        <v>52</v>
      </c>
      <c r="C24" s="3" t="s">
        <v>531</v>
      </c>
      <c r="D24" s="6" t="s">
        <v>532</v>
      </c>
      <c r="E24" s="6" t="s">
        <v>117</v>
      </c>
      <c r="F24" s="6" t="n">
        <v>3</v>
      </c>
      <c r="G24" s="6" t="s">
        <v>1217</v>
      </c>
      <c r="H24" s="3" t="s">
        <v>1248</v>
      </c>
      <c r="I24" s="6" t="s">
        <v>1249</v>
      </c>
    </row>
    <row r="25" customFormat="false" ht="35.05" hidden="false" customHeight="false" outlineLevel="0" collapsed="false">
      <c r="A25" s="6" t="s">
        <v>1235</v>
      </c>
      <c r="B25" s="6" t="s">
        <v>59</v>
      </c>
      <c r="C25" s="3" t="s">
        <v>656</v>
      </c>
      <c r="D25" s="6" t="s">
        <v>657</v>
      </c>
      <c r="E25" s="6" t="s">
        <v>152</v>
      </c>
      <c r="F25" s="6" t="n">
        <v>2</v>
      </c>
      <c r="G25" s="6" t="s">
        <v>1217</v>
      </c>
      <c r="H25" s="3" t="s">
        <v>1250</v>
      </c>
      <c r="I25" s="6" t="s">
        <v>1251</v>
      </c>
    </row>
    <row r="26" customFormat="false" ht="57.45" hidden="false" customHeight="false" outlineLevel="0" collapsed="false">
      <c r="A26" s="6" t="s">
        <v>1235</v>
      </c>
      <c r="B26" s="6" t="s">
        <v>62</v>
      </c>
      <c r="C26" s="3" t="s">
        <v>811</v>
      </c>
      <c r="D26" s="6" t="s">
        <v>812</v>
      </c>
      <c r="E26" s="6" t="s">
        <v>205</v>
      </c>
      <c r="F26" s="6" t="n">
        <v>3</v>
      </c>
      <c r="G26" s="6" t="s">
        <v>1217</v>
      </c>
      <c r="H26" s="3" t="s">
        <v>1252</v>
      </c>
      <c r="I26" s="6" t="s">
        <v>1253</v>
      </c>
    </row>
    <row r="27" customFormat="false" ht="35.05" hidden="false" customHeight="false" outlineLevel="0" collapsed="false">
      <c r="A27" s="6" t="s">
        <v>1235</v>
      </c>
      <c r="B27" s="6" t="s">
        <v>49</v>
      </c>
      <c r="C27" s="3" t="s">
        <v>345</v>
      </c>
      <c r="D27" s="6" t="s">
        <v>346</v>
      </c>
      <c r="E27" s="6" t="s">
        <v>117</v>
      </c>
      <c r="F27" s="6" t="n">
        <v>3</v>
      </c>
      <c r="G27" s="6" t="s">
        <v>1219</v>
      </c>
      <c r="H27" s="3" t="s">
        <v>1254</v>
      </c>
      <c r="I27" s="6" t="s">
        <v>1255</v>
      </c>
    </row>
    <row r="28" customFormat="false" ht="35.05" hidden="false" customHeight="false" outlineLevel="0" collapsed="false">
      <c r="A28" s="6" t="s">
        <v>1235</v>
      </c>
      <c r="B28" s="6" t="s">
        <v>49</v>
      </c>
      <c r="C28" s="3" t="s">
        <v>368</v>
      </c>
      <c r="D28" s="6" t="s">
        <v>369</v>
      </c>
      <c r="E28" s="6" t="s">
        <v>205</v>
      </c>
      <c r="F28" s="6" t="n">
        <v>3</v>
      </c>
      <c r="G28" s="6" t="s">
        <v>1219</v>
      </c>
      <c r="H28" s="3" t="s">
        <v>1256</v>
      </c>
      <c r="I28" s="6" t="s">
        <v>1257</v>
      </c>
    </row>
    <row r="29" customFormat="false" ht="23.85" hidden="false" customHeight="false" outlineLevel="0" collapsed="false">
      <c r="A29" s="6" t="s">
        <v>1235</v>
      </c>
      <c r="B29" s="6" t="s">
        <v>52</v>
      </c>
      <c r="C29" s="3" t="s">
        <v>478</v>
      </c>
      <c r="D29" s="6" t="s">
        <v>479</v>
      </c>
      <c r="E29" s="6" t="s">
        <v>117</v>
      </c>
      <c r="F29" s="6" t="n">
        <v>3</v>
      </c>
      <c r="G29" s="6" t="s">
        <v>1219</v>
      </c>
      <c r="H29" s="3" t="s">
        <v>1258</v>
      </c>
      <c r="I29" s="6" t="s">
        <v>1259</v>
      </c>
    </row>
    <row r="30" customFormat="false" ht="23.85" hidden="false" customHeight="false" outlineLevel="0" collapsed="false">
      <c r="A30" s="6" t="s">
        <v>1235</v>
      </c>
      <c r="B30" s="6" t="s">
        <v>52</v>
      </c>
      <c r="C30" s="3" t="s">
        <v>496</v>
      </c>
      <c r="D30" s="6" t="s">
        <v>497</v>
      </c>
      <c r="E30" s="6" t="s">
        <v>117</v>
      </c>
      <c r="F30" s="6" t="n">
        <v>3</v>
      </c>
      <c r="G30" s="6" t="s">
        <v>1219</v>
      </c>
      <c r="H30" s="3" t="s">
        <v>1260</v>
      </c>
      <c r="I30" s="6" t="s">
        <v>1261</v>
      </c>
    </row>
    <row r="31" customFormat="false" ht="23.85" hidden="false" customHeight="false" outlineLevel="0" collapsed="false">
      <c r="A31" s="6" t="s">
        <v>1235</v>
      </c>
      <c r="B31" s="6" t="s">
        <v>62</v>
      </c>
      <c r="C31" s="3" t="s">
        <v>737</v>
      </c>
      <c r="D31" s="6" t="s">
        <v>738</v>
      </c>
      <c r="E31" s="6" t="s">
        <v>117</v>
      </c>
      <c r="F31" s="6" t="n">
        <v>2</v>
      </c>
      <c r="G31" s="6" t="s">
        <v>1219</v>
      </c>
      <c r="H31" s="3" t="s">
        <v>1262</v>
      </c>
      <c r="I31" s="6" t="s">
        <v>1263</v>
      </c>
    </row>
    <row r="32" customFormat="false" ht="35.05" hidden="false" customHeight="false" outlineLevel="0" collapsed="false">
      <c r="A32" s="6" t="s">
        <v>1235</v>
      </c>
      <c r="B32" s="6" t="s">
        <v>71</v>
      </c>
      <c r="C32" s="3" t="s">
        <v>1052</v>
      </c>
      <c r="D32" s="6" t="s">
        <v>1053</v>
      </c>
      <c r="E32" s="6" t="s">
        <v>613</v>
      </c>
      <c r="F32" s="6" t="n">
        <v>3</v>
      </c>
      <c r="G32" s="6" t="s">
        <v>1219</v>
      </c>
      <c r="H32" s="3" t="s">
        <v>1264</v>
      </c>
      <c r="I32" s="6" t="s">
        <v>1265</v>
      </c>
    </row>
    <row r="33" customFormat="false" ht="46.25" hidden="false" customHeight="false" outlineLevel="0" collapsed="false">
      <c r="A33" s="6" t="s">
        <v>1235</v>
      </c>
      <c r="B33" s="6" t="s">
        <v>49</v>
      </c>
      <c r="C33" s="3" t="s">
        <v>393</v>
      </c>
      <c r="D33" s="6" t="s">
        <v>369</v>
      </c>
      <c r="E33" s="6" t="s">
        <v>205</v>
      </c>
      <c r="F33" s="6" t="n">
        <v>3</v>
      </c>
      <c r="G33" s="6" t="s">
        <v>1221</v>
      </c>
      <c r="H33" s="3" t="s">
        <v>1266</v>
      </c>
      <c r="I33" s="6" t="s">
        <v>1267</v>
      </c>
    </row>
    <row r="34" customFormat="false" ht="57.45" hidden="false" customHeight="false" outlineLevel="0" collapsed="false">
      <c r="A34" s="6" t="s">
        <v>1235</v>
      </c>
      <c r="B34" s="6" t="s">
        <v>46</v>
      </c>
      <c r="C34" s="3" t="s">
        <v>282</v>
      </c>
      <c r="D34" s="6" t="s">
        <v>283</v>
      </c>
      <c r="E34" s="6" t="s">
        <v>117</v>
      </c>
      <c r="F34" s="6" t="n">
        <v>3</v>
      </c>
      <c r="G34" s="6" t="s">
        <v>1221</v>
      </c>
      <c r="H34" s="3" t="s">
        <v>1268</v>
      </c>
      <c r="I34" s="6" t="s">
        <v>1269</v>
      </c>
    </row>
    <row r="35" customFormat="false" ht="23.85" hidden="false" customHeight="false" outlineLevel="0" collapsed="false">
      <c r="A35" s="6" t="s">
        <v>1235</v>
      </c>
      <c r="B35" s="6" t="s">
        <v>62</v>
      </c>
      <c r="C35" s="3" t="s">
        <v>778</v>
      </c>
      <c r="D35" s="6" t="s">
        <v>779</v>
      </c>
      <c r="E35" s="6" t="s">
        <v>117</v>
      </c>
      <c r="F35" s="6" t="n">
        <v>1</v>
      </c>
      <c r="G35" s="6" t="s">
        <v>1221</v>
      </c>
      <c r="H35" s="3" t="s">
        <v>1270</v>
      </c>
      <c r="I35" s="6" t="s">
        <v>1271</v>
      </c>
    </row>
    <row r="36" customFormat="false" ht="35.05" hidden="false" customHeight="false" outlineLevel="0" collapsed="false">
      <c r="A36" s="6" t="s">
        <v>1235</v>
      </c>
      <c r="B36" s="6" t="s">
        <v>49</v>
      </c>
      <c r="C36" s="3" t="s">
        <v>368</v>
      </c>
      <c r="D36" s="6" t="s">
        <v>369</v>
      </c>
      <c r="E36" s="6" t="s">
        <v>205</v>
      </c>
      <c r="F36" s="6" t="n">
        <v>1</v>
      </c>
      <c r="G36" s="6" t="s">
        <v>1222</v>
      </c>
      <c r="H36" s="3" t="s">
        <v>1272</v>
      </c>
      <c r="I36" s="6" t="s">
        <v>1273</v>
      </c>
    </row>
    <row r="37" customFormat="false" ht="35.05" hidden="false" customHeight="false" outlineLevel="0" collapsed="false">
      <c r="A37" s="6" t="s">
        <v>1235</v>
      </c>
      <c r="B37" s="6" t="s">
        <v>46</v>
      </c>
      <c r="C37" s="3" t="s">
        <v>256</v>
      </c>
      <c r="D37" s="6" t="s">
        <v>257</v>
      </c>
      <c r="E37" s="6" t="s">
        <v>152</v>
      </c>
      <c r="F37" s="6" t="n">
        <v>3</v>
      </c>
      <c r="G37" s="6" t="s">
        <v>1223</v>
      </c>
      <c r="H37" s="3" t="s">
        <v>1274</v>
      </c>
      <c r="I37" s="6" t="s">
        <v>1275</v>
      </c>
    </row>
    <row r="38" customFormat="false" ht="23.85" hidden="false" customHeight="false" outlineLevel="0" collapsed="false">
      <c r="A38" s="6" t="s">
        <v>1235</v>
      </c>
      <c r="B38" s="6" t="s">
        <v>59</v>
      </c>
      <c r="C38" s="3" t="s">
        <v>667</v>
      </c>
      <c r="D38" s="6" t="s">
        <v>668</v>
      </c>
      <c r="E38" s="6" t="s">
        <v>117</v>
      </c>
      <c r="F38" s="6" t="n">
        <v>2</v>
      </c>
      <c r="G38" s="6" t="s">
        <v>1223</v>
      </c>
      <c r="H38" s="3" t="s">
        <v>1276</v>
      </c>
      <c r="I38" s="6" t="s">
        <v>1277</v>
      </c>
    </row>
    <row r="39" customFormat="false" ht="35.05" hidden="false" customHeight="false" outlineLevel="0" collapsed="false">
      <c r="A39" s="6" t="s">
        <v>1235</v>
      </c>
      <c r="B39" s="6" t="s">
        <v>71</v>
      </c>
      <c r="C39" s="3" t="s">
        <v>1099</v>
      </c>
      <c r="D39" s="6" t="s">
        <v>1037</v>
      </c>
      <c r="E39" s="6" t="s">
        <v>152</v>
      </c>
      <c r="F39" s="6" t="n">
        <v>2</v>
      </c>
      <c r="G39" s="6" t="s">
        <v>1223</v>
      </c>
      <c r="H39" s="3" t="s">
        <v>1278</v>
      </c>
      <c r="I39" s="6" t="s">
        <v>1279</v>
      </c>
    </row>
    <row r="40" customFormat="false" ht="23.85" hidden="false" customHeight="false" outlineLevel="0" collapsed="false">
      <c r="A40" s="6" t="s">
        <v>1235</v>
      </c>
      <c r="B40" s="6" t="s">
        <v>71</v>
      </c>
      <c r="C40" s="3" t="s">
        <v>1114</v>
      </c>
      <c r="D40" s="6" t="s">
        <v>1115</v>
      </c>
      <c r="E40" s="6" t="s">
        <v>152</v>
      </c>
      <c r="F40" s="6" t="n">
        <v>1</v>
      </c>
      <c r="G40" s="6" t="s">
        <v>1223</v>
      </c>
      <c r="H40" s="3" t="s">
        <v>1280</v>
      </c>
      <c r="I40" s="6" t="s">
        <v>1281</v>
      </c>
    </row>
    <row r="41" customFormat="false" ht="23.85" hidden="false" customHeight="false" outlineLevel="0" collapsed="false">
      <c r="A41" s="6" t="s">
        <v>1235</v>
      </c>
      <c r="B41" s="6" t="s">
        <v>71</v>
      </c>
      <c r="C41" s="3" t="s">
        <v>1114</v>
      </c>
      <c r="D41" s="6" t="s">
        <v>1115</v>
      </c>
      <c r="E41" s="6" t="s">
        <v>152</v>
      </c>
      <c r="F41" s="6" t="n">
        <v>1</v>
      </c>
      <c r="G41" s="6" t="s">
        <v>1223</v>
      </c>
      <c r="H41" s="3" t="s">
        <v>1282</v>
      </c>
      <c r="I41" s="6" t="s">
        <v>1283</v>
      </c>
    </row>
    <row r="42" customFormat="false" ht="23.85" hidden="false" customHeight="false" outlineLevel="0" collapsed="false">
      <c r="A42" s="6" t="s">
        <v>1235</v>
      </c>
      <c r="B42" s="6" t="s">
        <v>71</v>
      </c>
      <c r="C42" s="3" t="s">
        <v>1114</v>
      </c>
      <c r="D42" s="6" t="s">
        <v>1115</v>
      </c>
      <c r="E42" s="6" t="s">
        <v>152</v>
      </c>
      <c r="F42" s="6" t="n">
        <v>1</v>
      </c>
      <c r="G42" s="6" t="s">
        <v>1223</v>
      </c>
      <c r="H42" s="3" t="s">
        <v>1284</v>
      </c>
      <c r="I42" s="6" t="s">
        <v>1285</v>
      </c>
    </row>
    <row r="43" customFormat="false" ht="35.05" hidden="false" customHeight="false" outlineLevel="0" collapsed="false">
      <c r="A43" s="6" t="s">
        <v>1235</v>
      </c>
      <c r="B43" s="6" t="s">
        <v>59</v>
      </c>
      <c r="C43" s="3" t="s">
        <v>656</v>
      </c>
      <c r="D43" s="6" t="s">
        <v>657</v>
      </c>
      <c r="E43" s="6" t="s">
        <v>152</v>
      </c>
      <c r="F43" s="6" t="n">
        <v>1</v>
      </c>
      <c r="G43" s="6" t="s">
        <v>1224</v>
      </c>
      <c r="H43" s="3" t="s">
        <v>1286</v>
      </c>
      <c r="I43" s="6" t="s">
        <v>1287</v>
      </c>
    </row>
    <row r="44" customFormat="false" ht="35.05" hidden="false" customHeight="false" outlineLevel="0" collapsed="false">
      <c r="A44" s="6" t="s">
        <v>1235</v>
      </c>
      <c r="B44" s="6" t="s">
        <v>59</v>
      </c>
      <c r="C44" s="3" t="s">
        <v>694</v>
      </c>
      <c r="D44" s="6" t="s">
        <v>695</v>
      </c>
      <c r="E44" s="6" t="s">
        <v>117</v>
      </c>
      <c r="F44" s="6" t="n">
        <v>3</v>
      </c>
      <c r="G44" s="6" t="s">
        <v>1224</v>
      </c>
      <c r="H44" s="3" t="s">
        <v>1288</v>
      </c>
      <c r="I44" s="6" t="s">
        <v>1289</v>
      </c>
    </row>
    <row r="45" customFormat="false" ht="15" hidden="false" customHeight="false" outlineLevel="0" collapsed="false">
      <c r="A45" s="6" t="s">
        <v>1235</v>
      </c>
      <c r="B45" s="6" t="s">
        <v>56</v>
      </c>
      <c r="C45" s="3" t="s">
        <v>575</v>
      </c>
      <c r="D45" s="6" t="s">
        <v>576</v>
      </c>
      <c r="E45" s="6" t="s">
        <v>117</v>
      </c>
      <c r="F45" s="6" t="n">
        <v>3</v>
      </c>
      <c r="G45" s="6" t="s">
        <v>1224</v>
      </c>
      <c r="H45" s="3" t="s">
        <v>1290</v>
      </c>
      <c r="I45" s="6" t="s">
        <v>1291</v>
      </c>
    </row>
    <row r="46" customFormat="false" ht="35.05" hidden="false" customHeight="false" outlineLevel="0" collapsed="false">
      <c r="A46" s="6" t="s">
        <v>1235</v>
      </c>
      <c r="B46" s="6" t="s">
        <v>59</v>
      </c>
      <c r="C46" s="3" t="s">
        <v>673</v>
      </c>
      <c r="D46" s="6" t="s">
        <v>674</v>
      </c>
      <c r="E46" s="6" t="s">
        <v>117</v>
      </c>
      <c r="F46" s="6" t="n">
        <v>3</v>
      </c>
      <c r="G46" s="6" t="s">
        <v>1224</v>
      </c>
      <c r="H46" s="3" t="s">
        <v>1292</v>
      </c>
      <c r="I46" s="6" t="s">
        <v>1293</v>
      </c>
    </row>
    <row r="47" customFormat="false" ht="46.25" hidden="false" customHeight="false" outlineLevel="0" collapsed="false">
      <c r="A47" s="6" t="s">
        <v>1235</v>
      </c>
      <c r="B47" s="6" t="s">
        <v>65</v>
      </c>
      <c r="C47" s="3" t="s">
        <v>850</v>
      </c>
      <c r="D47" s="6" t="s">
        <v>851</v>
      </c>
      <c r="E47" s="6" t="s">
        <v>152</v>
      </c>
      <c r="F47" s="6" t="n">
        <v>1</v>
      </c>
      <c r="G47" s="6" t="s">
        <v>1225</v>
      </c>
      <c r="H47" s="3" t="s">
        <v>1294</v>
      </c>
      <c r="I47" s="6" t="s">
        <v>1295</v>
      </c>
    </row>
    <row r="48" customFormat="false" ht="23.85" hidden="false" customHeight="false" outlineLevel="0" collapsed="false">
      <c r="A48" s="6" t="s">
        <v>1235</v>
      </c>
      <c r="B48" s="6" t="s">
        <v>68</v>
      </c>
      <c r="C48" s="3" t="s">
        <v>937</v>
      </c>
      <c r="D48" s="6" t="s">
        <v>938</v>
      </c>
      <c r="E48" s="6" t="s">
        <v>117</v>
      </c>
      <c r="F48" s="6" t="n">
        <v>1</v>
      </c>
      <c r="G48" s="6" t="s">
        <v>1225</v>
      </c>
      <c r="H48" s="3" t="s">
        <v>1296</v>
      </c>
      <c r="I48" s="6" t="s">
        <v>1297</v>
      </c>
    </row>
    <row r="49" customFormat="false" ht="35.05" hidden="false" customHeight="false" outlineLevel="0" collapsed="false">
      <c r="A49" s="6" t="s">
        <v>1235</v>
      </c>
      <c r="B49" s="6" t="s">
        <v>68</v>
      </c>
      <c r="C49" s="3" t="s">
        <v>943</v>
      </c>
      <c r="D49" s="6" t="s">
        <v>944</v>
      </c>
      <c r="E49" s="6" t="s">
        <v>117</v>
      </c>
      <c r="F49" s="6" t="n">
        <v>1</v>
      </c>
      <c r="G49" s="6" t="s">
        <v>1225</v>
      </c>
      <c r="H49" s="3" t="s">
        <v>1298</v>
      </c>
      <c r="I49" s="6" t="s">
        <v>1299</v>
      </c>
    </row>
    <row r="50" customFormat="false" ht="23.85" hidden="false" customHeight="false" outlineLevel="0" collapsed="false">
      <c r="A50" s="6" t="s">
        <v>1235</v>
      </c>
      <c r="B50" s="6" t="s">
        <v>68</v>
      </c>
      <c r="C50" s="3" t="s">
        <v>965</v>
      </c>
      <c r="D50" s="6" t="s">
        <v>933</v>
      </c>
      <c r="E50" s="6" t="s">
        <v>117</v>
      </c>
      <c r="F50" s="6" t="n">
        <v>3</v>
      </c>
      <c r="G50" s="6" t="s">
        <v>1225</v>
      </c>
      <c r="H50" s="3" t="s">
        <v>1300</v>
      </c>
      <c r="I50" s="6" t="s">
        <v>1301</v>
      </c>
    </row>
    <row r="51" customFormat="false" ht="35.05" hidden="false" customHeight="false" outlineLevel="0" collapsed="false">
      <c r="A51" s="6" t="s">
        <v>1235</v>
      </c>
      <c r="B51" s="6" t="s">
        <v>65</v>
      </c>
      <c r="C51" s="3" t="s">
        <v>845</v>
      </c>
      <c r="D51" s="6" t="s">
        <v>846</v>
      </c>
      <c r="E51" s="6" t="s">
        <v>117</v>
      </c>
      <c r="F51" s="6" t="n">
        <v>3</v>
      </c>
      <c r="G51" s="6" t="s">
        <v>1225</v>
      </c>
      <c r="H51" s="3" t="s">
        <v>1302</v>
      </c>
      <c r="I51" s="6" t="s">
        <v>1303</v>
      </c>
    </row>
    <row r="52" customFormat="false" ht="46.25" hidden="false" customHeight="false" outlineLevel="0" collapsed="false">
      <c r="A52" s="6" t="s">
        <v>1235</v>
      </c>
      <c r="B52" s="6" t="s">
        <v>62</v>
      </c>
      <c r="C52" s="3" t="s">
        <v>806</v>
      </c>
      <c r="D52" s="6" t="s">
        <v>807</v>
      </c>
      <c r="E52" s="6" t="s">
        <v>152</v>
      </c>
      <c r="F52" s="6" t="n">
        <v>1</v>
      </c>
      <c r="G52" s="6" t="s">
        <v>1227</v>
      </c>
      <c r="H52" s="3" t="s">
        <v>1304</v>
      </c>
      <c r="I52" s="6" t="s">
        <v>1305</v>
      </c>
    </row>
    <row r="53" customFormat="false" ht="23.85" hidden="false" customHeight="false" outlineLevel="0" collapsed="false">
      <c r="A53" s="6" t="s">
        <v>1235</v>
      </c>
      <c r="B53" s="6" t="s">
        <v>46</v>
      </c>
      <c r="C53" s="3" t="s">
        <v>314</v>
      </c>
      <c r="D53" s="6" t="s">
        <v>315</v>
      </c>
      <c r="E53" s="6" t="s">
        <v>117</v>
      </c>
      <c r="F53" s="6" t="n">
        <v>3</v>
      </c>
      <c r="G53" s="6" t="s">
        <v>1228</v>
      </c>
      <c r="H53" s="3" t="s">
        <v>1306</v>
      </c>
      <c r="I53" s="6" t="s">
        <v>1307</v>
      </c>
    </row>
    <row r="54" customFormat="false" ht="35.05" hidden="false" customHeight="false" outlineLevel="0" collapsed="false">
      <c r="A54" s="6" t="s">
        <v>1235</v>
      </c>
      <c r="B54" s="6" t="s">
        <v>52</v>
      </c>
      <c r="C54" s="3" t="s">
        <v>454</v>
      </c>
      <c r="D54" s="6" t="s">
        <v>267</v>
      </c>
      <c r="E54" s="6" t="s">
        <v>117</v>
      </c>
      <c r="F54" s="6" t="n">
        <v>3</v>
      </c>
      <c r="G54" s="6" t="s">
        <v>1228</v>
      </c>
      <c r="H54" s="3" t="s">
        <v>1308</v>
      </c>
      <c r="I54" s="6" t="s">
        <v>1309</v>
      </c>
    </row>
    <row r="55" customFormat="false" ht="35.05" hidden="false" customHeight="false" outlineLevel="0" collapsed="false">
      <c r="A55" s="6" t="s">
        <v>1235</v>
      </c>
      <c r="B55" s="6" t="s">
        <v>56</v>
      </c>
      <c r="C55" s="3" t="s">
        <v>543</v>
      </c>
      <c r="D55" s="6" t="s">
        <v>544</v>
      </c>
      <c r="E55" s="6" t="s">
        <v>117</v>
      </c>
      <c r="F55" s="6" t="n">
        <v>3</v>
      </c>
      <c r="G55" s="6" t="s">
        <v>1228</v>
      </c>
      <c r="H55" s="3" t="s">
        <v>1310</v>
      </c>
      <c r="I55" s="6" t="s">
        <v>1311</v>
      </c>
    </row>
    <row r="56" customFormat="false" ht="35.05" hidden="false" customHeight="false" outlineLevel="0" collapsed="false">
      <c r="A56" s="6" t="s">
        <v>1235</v>
      </c>
      <c r="B56" s="6" t="s">
        <v>62</v>
      </c>
      <c r="C56" s="3" t="s">
        <v>743</v>
      </c>
      <c r="D56" s="6" t="s">
        <v>744</v>
      </c>
      <c r="E56" s="6" t="s">
        <v>117</v>
      </c>
      <c r="F56" s="6" t="n">
        <v>3</v>
      </c>
      <c r="G56" s="6" t="s">
        <v>1228</v>
      </c>
      <c r="H56" s="3" t="s">
        <v>1312</v>
      </c>
      <c r="I56" s="6" t="s">
        <v>1313</v>
      </c>
    </row>
    <row r="57" customFormat="false" ht="23.85" hidden="false" customHeight="false" outlineLevel="0" collapsed="false">
      <c r="A57" s="6" t="s">
        <v>1235</v>
      </c>
      <c r="B57" s="6" t="s">
        <v>65</v>
      </c>
      <c r="C57" s="3" t="s">
        <v>861</v>
      </c>
      <c r="D57" s="6" t="s">
        <v>862</v>
      </c>
      <c r="E57" s="6" t="s">
        <v>117</v>
      </c>
      <c r="F57" s="6" t="n">
        <v>3</v>
      </c>
      <c r="G57" s="6" t="s">
        <v>1228</v>
      </c>
      <c r="H57" s="3" t="s">
        <v>1314</v>
      </c>
      <c r="I57" s="6" t="s">
        <v>1315</v>
      </c>
    </row>
    <row r="58" customFormat="false" ht="23.85" hidden="false" customHeight="false" outlineLevel="0" collapsed="false">
      <c r="A58" s="6" t="s">
        <v>1235</v>
      </c>
      <c r="B58" s="6" t="s">
        <v>65</v>
      </c>
      <c r="C58" s="3" t="s">
        <v>910</v>
      </c>
      <c r="D58" s="6" t="s">
        <v>911</v>
      </c>
      <c r="E58" s="6" t="s">
        <v>117</v>
      </c>
      <c r="F58" s="6" t="n">
        <v>3</v>
      </c>
      <c r="G58" s="6" t="s">
        <v>1228</v>
      </c>
      <c r="H58" s="3" t="s">
        <v>1316</v>
      </c>
      <c r="I58" s="6" t="s">
        <v>1317</v>
      </c>
    </row>
    <row r="59" customFormat="false" ht="23.85" hidden="false" customHeight="false" outlineLevel="0" collapsed="false">
      <c r="A59" s="6" t="s">
        <v>1235</v>
      </c>
      <c r="B59" s="6" t="s">
        <v>68</v>
      </c>
      <c r="C59" s="3" t="s">
        <v>1015</v>
      </c>
      <c r="D59" s="6" t="s">
        <v>1016</v>
      </c>
      <c r="E59" s="6" t="s">
        <v>117</v>
      </c>
      <c r="F59" s="6" t="n">
        <v>2</v>
      </c>
      <c r="G59" s="6" t="s">
        <v>1229</v>
      </c>
      <c r="H59" s="3" t="s">
        <v>1318</v>
      </c>
      <c r="I59" s="6" t="s">
        <v>1319</v>
      </c>
    </row>
    <row r="60" customFormat="false" ht="23.85" hidden="false" customHeight="false" outlineLevel="0" collapsed="false">
      <c r="A60" s="6" t="s">
        <v>1235</v>
      </c>
      <c r="B60" s="6" t="s">
        <v>68</v>
      </c>
      <c r="C60" s="3" t="s">
        <v>1015</v>
      </c>
      <c r="D60" s="6" t="s">
        <v>1016</v>
      </c>
      <c r="E60" s="6" t="s">
        <v>117</v>
      </c>
      <c r="F60" s="6" t="n">
        <v>1</v>
      </c>
      <c r="G60" s="6" t="s">
        <v>1229</v>
      </c>
      <c r="H60" s="3" t="s">
        <v>1320</v>
      </c>
      <c r="I60" s="6" t="s">
        <v>1321</v>
      </c>
    </row>
    <row r="61" customFormat="false" ht="23.85" hidden="false" customHeight="false" outlineLevel="0" collapsed="false">
      <c r="A61" s="6" t="s">
        <v>1235</v>
      </c>
      <c r="B61" s="6" t="s">
        <v>42</v>
      </c>
      <c r="C61" s="3" t="s">
        <v>193</v>
      </c>
      <c r="D61" s="6" t="s">
        <v>194</v>
      </c>
      <c r="E61" s="6" t="s">
        <v>117</v>
      </c>
      <c r="F61" s="6" t="n">
        <v>2</v>
      </c>
      <c r="G61" s="6" t="s">
        <v>1230</v>
      </c>
      <c r="H61" s="3" t="s">
        <v>1322</v>
      </c>
      <c r="I61" s="6" t="s">
        <v>1323</v>
      </c>
    </row>
    <row r="62" customFormat="false" ht="35.05" hidden="false" customHeight="false" outlineLevel="0" collapsed="false">
      <c r="A62" s="6" t="s">
        <v>1235</v>
      </c>
      <c r="B62" s="6" t="s">
        <v>46</v>
      </c>
      <c r="C62" s="3" t="s">
        <v>293</v>
      </c>
      <c r="D62" s="6" t="s">
        <v>294</v>
      </c>
      <c r="E62" s="6" t="s">
        <v>117</v>
      </c>
      <c r="F62" s="6" t="n">
        <v>1</v>
      </c>
      <c r="G62" s="6" t="s">
        <v>1230</v>
      </c>
      <c r="H62" s="3" t="s">
        <v>1324</v>
      </c>
      <c r="I62" s="6" t="s">
        <v>1325</v>
      </c>
    </row>
    <row r="63" customFormat="false" ht="46.25" hidden="false" customHeight="false" outlineLevel="0" collapsed="false">
      <c r="A63" s="6" t="s">
        <v>1235</v>
      </c>
      <c r="B63" s="6" t="s">
        <v>46</v>
      </c>
      <c r="C63" s="3" t="s">
        <v>340</v>
      </c>
      <c r="D63" s="6" t="s">
        <v>341</v>
      </c>
      <c r="E63" s="6" t="s">
        <v>117</v>
      </c>
      <c r="F63" s="6" t="n">
        <v>1</v>
      </c>
      <c r="G63" s="6" t="s">
        <v>1230</v>
      </c>
      <c r="H63" s="3" t="s">
        <v>1326</v>
      </c>
      <c r="I63" s="6" t="s">
        <v>1327</v>
      </c>
    </row>
    <row r="64" customFormat="false" ht="23.85" hidden="false" customHeight="false" outlineLevel="0" collapsed="false">
      <c r="A64" s="6" t="s">
        <v>1235</v>
      </c>
      <c r="B64" s="6" t="s">
        <v>49</v>
      </c>
      <c r="C64" s="3" t="s">
        <v>398</v>
      </c>
      <c r="D64" s="6" t="s">
        <v>399</v>
      </c>
      <c r="E64" s="6" t="s">
        <v>117</v>
      </c>
      <c r="F64" s="6" t="n">
        <v>3</v>
      </c>
      <c r="G64" s="6" t="s">
        <v>1230</v>
      </c>
      <c r="H64" s="3" t="s">
        <v>1328</v>
      </c>
      <c r="I64" s="6" t="s">
        <v>1329</v>
      </c>
    </row>
    <row r="65" customFormat="false" ht="23.85" hidden="false" customHeight="false" outlineLevel="0" collapsed="false">
      <c r="A65" s="6" t="s">
        <v>1235</v>
      </c>
      <c r="B65" s="6" t="s">
        <v>52</v>
      </c>
      <c r="C65" s="3" t="s">
        <v>442</v>
      </c>
      <c r="D65" s="6" t="s">
        <v>443</v>
      </c>
      <c r="E65" s="6" t="s">
        <v>117</v>
      </c>
      <c r="F65" s="6" t="n">
        <v>1</v>
      </c>
      <c r="G65" s="6" t="s">
        <v>1230</v>
      </c>
      <c r="H65" s="3" t="s">
        <v>1330</v>
      </c>
      <c r="I65" s="6" t="s">
        <v>1331</v>
      </c>
    </row>
    <row r="66" customFormat="false" ht="23.85" hidden="false" customHeight="false" outlineLevel="0" collapsed="false">
      <c r="A66" s="6" t="s">
        <v>1235</v>
      </c>
      <c r="B66" s="6" t="s">
        <v>52</v>
      </c>
      <c r="C66" s="3" t="s">
        <v>525</v>
      </c>
      <c r="D66" s="6" t="s">
        <v>526</v>
      </c>
      <c r="E66" s="6" t="s">
        <v>117</v>
      </c>
      <c r="F66" s="6" t="n">
        <v>2</v>
      </c>
      <c r="G66" s="6" t="s">
        <v>1230</v>
      </c>
      <c r="H66" s="3" t="s">
        <v>1332</v>
      </c>
      <c r="I66" s="6" t="s">
        <v>1333</v>
      </c>
    </row>
    <row r="67" customFormat="false" ht="23.85" hidden="false" customHeight="false" outlineLevel="0" collapsed="false">
      <c r="A67" s="6" t="s">
        <v>1235</v>
      </c>
      <c r="B67" s="6" t="s">
        <v>56</v>
      </c>
      <c r="C67" s="3" t="s">
        <v>554</v>
      </c>
      <c r="D67" s="6" t="s">
        <v>555</v>
      </c>
      <c r="E67" s="6" t="s">
        <v>117</v>
      </c>
      <c r="F67" s="6" t="n">
        <v>1</v>
      </c>
      <c r="G67" s="6" t="s">
        <v>1230</v>
      </c>
      <c r="H67" s="3" t="s">
        <v>1334</v>
      </c>
      <c r="I67" s="6" t="s">
        <v>1335</v>
      </c>
    </row>
    <row r="68" customFormat="false" ht="23.85" hidden="false" customHeight="false" outlineLevel="0" collapsed="false">
      <c r="A68" s="6" t="s">
        <v>1235</v>
      </c>
      <c r="B68" s="6" t="s">
        <v>56</v>
      </c>
      <c r="C68" s="3" t="s">
        <v>617</v>
      </c>
      <c r="D68" s="6" t="s">
        <v>315</v>
      </c>
      <c r="E68" s="6" t="s">
        <v>117</v>
      </c>
      <c r="F68" s="6" t="n">
        <v>1</v>
      </c>
      <c r="G68" s="6" t="s">
        <v>1230</v>
      </c>
      <c r="H68" s="3" t="s">
        <v>1336</v>
      </c>
      <c r="I68" s="6" t="s">
        <v>1337</v>
      </c>
    </row>
    <row r="69" customFormat="false" ht="35.05" hidden="false" customHeight="false" outlineLevel="0" collapsed="false">
      <c r="A69" s="6" t="s">
        <v>1235</v>
      </c>
      <c r="B69" s="6" t="s">
        <v>59</v>
      </c>
      <c r="C69" s="3" t="s">
        <v>650</v>
      </c>
      <c r="D69" s="6" t="s">
        <v>651</v>
      </c>
      <c r="E69" s="6" t="s">
        <v>117</v>
      </c>
      <c r="F69" s="6" t="n">
        <v>1</v>
      </c>
      <c r="G69" s="6" t="s">
        <v>1230</v>
      </c>
      <c r="H69" s="3" t="s">
        <v>1338</v>
      </c>
      <c r="I69" s="6" t="s">
        <v>1339</v>
      </c>
    </row>
    <row r="70" customFormat="false" ht="23.85" hidden="false" customHeight="false" outlineLevel="0" collapsed="false">
      <c r="A70" s="6" t="s">
        <v>1235</v>
      </c>
      <c r="B70" s="6" t="s">
        <v>59</v>
      </c>
      <c r="C70" s="3" t="s">
        <v>661</v>
      </c>
      <c r="D70" s="6" t="s">
        <v>662</v>
      </c>
      <c r="E70" s="6" t="s">
        <v>117</v>
      </c>
      <c r="F70" s="6" t="n">
        <v>1</v>
      </c>
      <c r="G70" s="6" t="s">
        <v>1230</v>
      </c>
      <c r="H70" s="3" t="s">
        <v>1340</v>
      </c>
      <c r="I70" s="6" t="s">
        <v>1341</v>
      </c>
    </row>
    <row r="71" customFormat="false" ht="23.85" hidden="false" customHeight="false" outlineLevel="0" collapsed="false">
      <c r="A71" s="6" t="s">
        <v>1235</v>
      </c>
      <c r="B71" s="6" t="s">
        <v>62</v>
      </c>
      <c r="C71" s="3" t="s">
        <v>733</v>
      </c>
      <c r="D71" s="6" t="s">
        <v>473</v>
      </c>
      <c r="E71" s="6" t="s">
        <v>117</v>
      </c>
      <c r="F71" s="6" t="n">
        <v>3</v>
      </c>
      <c r="G71" s="6" t="s">
        <v>1230</v>
      </c>
      <c r="H71" s="3" t="s">
        <v>1342</v>
      </c>
      <c r="I71" s="6" t="s">
        <v>1343</v>
      </c>
    </row>
    <row r="72" customFormat="false" ht="15" hidden="false" customHeight="false" outlineLevel="0" collapsed="false">
      <c r="A72" s="6" t="s">
        <v>1235</v>
      </c>
      <c r="B72" s="6" t="s">
        <v>68</v>
      </c>
      <c r="C72" s="3" t="s">
        <v>959</v>
      </c>
      <c r="D72" s="6" t="s">
        <v>960</v>
      </c>
      <c r="E72" s="6" t="s">
        <v>117</v>
      </c>
      <c r="F72" s="6" t="n">
        <v>2</v>
      </c>
      <c r="G72" s="6" t="s">
        <v>1230</v>
      </c>
      <c r="H72" s="3" t="s">
        <v>1344</v>
      </c>
      <c r="I72" s="6" t="s">
        <v>1345</v>
      </c>
    </row>
    <row r="73" customFormat="false" ht="23.85" hidden="false" customHeight="false" outlineLevel="0" collapsed="false">
      <c r="A73" s="6" t="s">
        <v>1235</v>
      </c>
      <c r="B73" s="6" t="s">
        <v>68</v>
      </c>
      <c r="C73" s="3" t="s">
        <v>965</v>
      </c>
      <c r="D73" s="6" t="s">
        <v>933</v>
      </c>
      <c r="E73" s="6" t="s">
        <v>117</v>
      </c>
      <c r="F73" s="6" t="n">
        <v>3</v>
      </c>
      <c r="G73" s="6" t="s">
        <v>1230</v>
      </c>
      <c r="H73" s="3" t="s">
        <v>1346</v>
      </c>
      <c r="I73" s="6" t="s">
        <v>1347</v>
      </c>
    </row>
    <row r="74" customFormat="false" ht="35.05" hidden="false" customHeight="false" outlineLevel="0" collapsed="false">
      <c r="A74" s="6" t="s">
        <v>1235</v>
      </c>
      <c r="B74" s="6" t="s">
        <v>68</v>
      </c>
      <c r="C74" s="3" t="s">
        <v>989</v>
      </c>
      <c r="D74" s="6" t="s">
        <v>933</v>
      </c>
      <c r="E74" s="6" t="s">
        <v>117</v>
      </c>
      <c r="F74" s="6" t="n">
        <v>2</v>
      </c>
      <c r="G74" s="6" t="s">
        <v>1230</v>
      </c>
      <c r="H74" s="3" t="s">
        <v>1348</v>
      </c>
      <c r="I74" s="6" t="s">
        <v>1349</v>
      </c>
    </row>
    <row r="75" customFormat="false" ht="23.85" hidden="false" customHeight="false" outlineLevel="0" collapsed="false">
      <c r="A75" s="6" t="s">
        <v>1235</v>
      </c>
      <c r="B75" s="6" t="s">
        <v>68</v>
      </c>
      <c r="C75" s="3" t="s">
        <v>1003</v>
      </c>
      <c r="D75" s="6" t="s">
        <v>1004</v>
      </c>
      <c r="E75" s="6" t="s">
        <v>117</v>
      </c>
      <c r="F75" s="6" t="n">
        <v>2</v>
      </c>
      <c r="G75" s="6" t="s">
        <v>1230</v>
      </c>
      <c r="H75" s="3" t="s">
        <v>1350</v>
      </c>
      <c r="I75" s="6" t="s">
        <v>1351</v>
      </c>
    </row>
    <row r="76" customFormat="false" ht="23.85" hidden="false" customHeight="false" outlineLevel="0" collapsed="false">
      <c r="A76" s="6" t="s">
        <v>1235</v>
      </c>
      <c r="B76" s="6" t="s">
        <v>68</v>
      </c>
      <c r="C76" s="3" t="s">
        <v>1015</v>
      </c>
      <c r="D76" s="6" t="s">
        <v>1016</v>
      </c>
      <c r="E76" s="6" t="s">
        <v>117</v>
      </c>
      <c r="F76" s="6" t="n">
        <v>1</v>
      </c>
      <c r="G76" s="6" t="s">
        <v>1230</v>
      </c>
      <c r="H76" s="3" t="s">
        <v>1352</v>
      </c>
      <c r="I76" s="6" t="s">
        <v>1353</v>
      </c>
    </row>
    <row r="77" customFormat="false" ht="23.85" hidden="false" customHeight="false" outlineLevel="0" collapsed="false">
      <c r="A77" s="6" t="s">
        <v>1235</v>
      </c>
      <c r="B77" s="6" t="s">
        <v>68</v>
      </c>
      <c r="C77" s="3" t="s">
        <v>1015</v>
      </c>
      <c r="D77" s="6" t="s">
        <v>1016</v>
      </c>
      <c r="E77" s="6" t="s">
        <v>117</v>
      </c>
      <c r="F77" s="6" t="n">
        <v>1</v>
      </c>
      <c r="G77" s="6" t="s">
        <v>1230</v>
      </c>
      <c r="H77" s="3" t="s">
        <v>1354</v>
      </c>
      <c r="I77" s="6" t="s">
        <v>1355</v>
      </c>
    </row>
    <row r="78" customFormat="false" ht="35.05" hidden="false" customHeight="false" outlineLevel="0" collapsed="false">
      <c r="A78" s="6" t="s">
        <v>1235</v>
      </c>
      <c r="B78" s="6" t="s">
        <v>71</v>
      </c>
      <c r="C78" s="3" t="s">
        <v>1036</v>
      </c>
      <c r="D78" s="6" t="s">
        <v>1037</v>
      </c>
      <c r="E78" s="6" t="s">
        <v>152</v>
      </c>
      <c r="F78" s="6" t="n">
        <v>1</v>
      </c>
      <c r="G78" s="6" t="s">
        <v>1230</v>
      </c>
      <c r="H78" s="3" t="s">
        <v>1356</v>
      </c>
      <c r="I78" s="6" t="s">
        <v>1357</v>
      </c>
    </row>
    <row r="79" customFormat="false" ht="23.85" hidden="false" customHeight="false" outlineLevel="0" collapsed="false">
      <c r="A79" s="6" t="s">
        <v>1358</v>
      </c>
      <c r="B79" s="6" t="s">
        <v>49</v>
      </c>
      <c r="C79" s="3" t="s">
        <v>1359</v>
      </c>
      <c r="D79" s="6" t="s">
        <v>369</v>
      </c>
      <c r="E79" s="6" t="s">
        <v>205</v>
      </c>
      <c r="F79" s="6" t="n">
        <v>2</v>
      </c>
      <c r="G79" s="6" t="s">
        <v>1217</v>
      </c>
      <c r="H79" s="3" t="s">
        <v>1360</v>
      </c>
      <c r="I79" s="6" t="s">
        <v>1361</v>
      </c>
    </row>
    <row r="80" customFormat="false" ht="23.85" hidden="false" customHeight="false" outlineLevel="0" collapsed="false">
      <c r="A80" s="6" t="s">
        <v>1358</v>
      </c>
      <c r="B80" s="6" t="s">
        <v>49</v>
      </c>
      <c r="C80" s="3" t="s">
        <v>1359</v>
      </c>
      <c r="D80" s="6" t="s">
        <v>369</v>
      </c>
      <c r="E80" s="6" t="s">
        <v>205</v>
      </c>
      <c r="F80" s="6" t="n">
        <v>3</v>
      </c>
      <c r="G80" s="6" t="s">
        <v>1219</v>
      </c>
      <c r="H80" s="3" t="s">
        <v>1362</v>
      </c>
      <c r="I80" s="6" t="s">
        <v>1361</v>
      </c>
    </row>
    <row r="81" customFormat="false" ht="23.85" hidden="false" customHeight="false" outlineLevel="0" collapsed="false">
      <c r="A81" s="6" t="s">
        <v>1358</v>
      </c>
      <c r="B81" s="6" t="s">
        <v>49</v>
      </c>
      <c r="C81" s="3" t="s">
        <v>1359</v>
      </c>
      <c r="D81" s="6" t="s">
        <v>369</v>
      </c>
      <c r="E81" s="6" t="s">
        <v>205</v>
      </c>
      <c r="F81" s="6" t="n">
        <v>1</v>
      </c>
      <c r="G81" s="6" t="s">
        <v>1222</v>
      </c>
      <c r="H81" s="3" t="s">
        <v>1363</v>
      </c>
      <c r="I81" s="6" t="s">
        <v>1361</v>
      </c>
    </row>
    <row r="82" customFormat="false" ht="23.85" hidden="false" customHeight="false" outlineLevel="0" collapsed="false">
      <c r="A82" s="6" t="s">
        <v>1358</v>
      </c>
      <c r="B82" s="6" t="s">
        <v>49</v>
      </c>
      <c r="C82" s="3" t="s">
        <v>1359</v>
      </c>
      <c r="D82" s="6" t="s">
        <v>369</v>
      </c>
      <c r="E82" s="6" t="s">
        <v>205</v>
      </c>
      <c r="F82" s="6" t="n">
        <v>3</v>
      </c>
      <c r="G82" s="6" t="s">
        <v>1221</v>
      </c>
      <c r="H82" s="3" t="s">
        <v>1364</v>
      </c>
      <c r="I82" s="6" t="s">
        <v>1361</v>
      </c>
    </row>
    <row r="83" customFormat="false" ht="23.85" hidden="false" customHeight="false" outlineLevel="0" collapsed="false">
      <c r="A83" s="6" t="s">
        <v>1358</v>
      </c>
      <c r="B83" s="6" t="s">
        <v>49</v>
      </c>
      <c r="C83" s="3" t="s">
        <v>1359</v>
      </c>
      <c r="D83" s="6" t="s">
        <v>369</v>
      </c>
      <c r="E83" s="6" t="s">
        <v>205</v>
      </c>
      <c r="F83" s="6" t="n">
        <v>2</v>
      </c>
      <c r="G83" s="6" t="s">
        <v>1221</v>
      </c>
      <c r="H83" s="3" t="s">
        <v>1365</v>
      </c>
      <c r="I83" s="6" t="s">
        <v>1361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60"/>
    <col collapsed="false" customWidth="true" hidden="false" outlineLevel="0" max="3" min="3" style="0" width="30"/>
    <col collapsed="false" customWidth="true" hidden="false" outlineLevel="0" max="4" min="4" style="0" width="50"/>
    <col collapsed="false" customWidth="true" hidden="false" outlineLevel="0" max="5" min="5" style="0" width="16"/>
  </cols>
  <sheetData>
    <row r="1" customFormat="false" ht="15" hidden="false" customHeight="false" outlineLevel="0" collapsed="false">
      <c r="A1" s="4" t="s">
        <v>1366</v>
      </c>
      <c r="B1" s="4" t="s">
        <v>1367</v>
      </c>
      <c r="C1" s="4" t="s">
        <v>1368</v>
      </c>
      <c r="D1" s="4" t="s">
        <v>1369</v>
      </c>
      <c r="E1" s="4" t="s">
        <v>1370</v>
      </c>
    </row>
    <row r="2" customFormat="false" ht="15" hidden="false" customHeight="false" outlineLevel="0" collapsed="false">
      <c r="A2" s="3" t="s">
        <v>1371</v>
      </c>
      <c r="B2" s="3" t="s">
        <v>1372</v>
      </c>
      <c r="C2" s="3" t="s">
        <v>1373</v>
      </c>
      <c r="D2" s="3" t="s">
        <v>1374</v>
      </c>
      <c r="E2" s="3" t="s">
        <v>1375</v>
      </c>
    </row>
    <row r="3" customFormat="false" ht="23.85" hidden="false" customHeight="false" outlineLevel="0" collapsed="false">
      <c r="A3" s="3" t="s">
        <v>1376</v>
      </c>
      <c r="B3" s="3" t="s">
        <v>1377</v>
      </c>
      <c r="C3" s="3" t="s">
        <v>1378</v>
      </c>
      <c r="D3" s="3" t="s">
        <v>1379</v>
      </c>
      <c r="E3" s="3" t="s">
        <v>1380</v>
      </c>
    </row>
    <row r="4" customFormat="false" ht="23.85" hidden="false" customHeight="false" outlineLevel="0" collapsed="false">
      <c r="A4" s="3" t="s">
        <v>1381</v>
      </c>
      <c r="B4" s="3" t="s">
        <v>1382</v>
      </c>
      <c r="C4" s="3" t="s">
        <v>1383</v>
      </c>
      <c r="D4" s="3" t="s">
        <v>1384</v>
      </c>
      <c r="E4" s="3" t="s">
        <v>1385</v>
      </c>
    </row>
    <row r="5" customFormat="false" ht="23.85" hidden="false" customHeight="false" outlineLevel="0" collapsed="false">
      <c r="A5" s="3" t="s">
        <v>1386</v>
      </c>
      <c r="B5" s="3" t="s">
        <v>1387</v>
      </c>
      <c r="C5" s="3" t="s">
        <v>1388</v>
      </c>
      <c r="D5" s="3" t="s">
        <v>1389</v>
      </c>
      <c r="E5" s="3" t="s">
        <v>1390</v>
      </c>
    </row>
    <row r="6" customFormat="false" ht="23.85" hidden="false" customHeight="false" outlineLevel="0" collapsed="false">
      <c r="A6" s="3" t="s">
        <v>1391</v>
      </c>
      <c r="B6" s="3" t="s">
        <v>1392</v>
      </c>
      <c r="C6" s="3" t="s">
        <v>1393</v>
      </c>
      <c r="D6" s="3" t="s">
        <v>1394</v>
      </c>
      <c r="E6" s="3" t="s">
        <v>1390</v>
      </c>
    </row>
    <row r="7" customFormat="false" ht="23.85" hidden="false" customHeight="false" outlineLevel="0" collapsed="false">
      <c r="A7" s="3" t="s">
        <v>1395</v>
      </c>
      <c r="B7" s="3" t="s">
        <v>1396</v>
      </c>
      <c r="C7" s="3" t="s">
        <v>1397</v>
      </c>
      <c r="D7" s="3" t="s">
        <v>1398</v>
      </c>
      <c r="E7" s="3" t="s">
        <v>1390</v>
      </c>
    </row>
    <row r="8" customFormat="false" ht="23.85" hidden="false" customHeight="false" outlineLevel="0" collapsed="false">
      <c r="A8" s="3" t="s">
        <v>1399</v>
      </c>
      <c r="B8" s="3" t="s">
        <v>1400</v>
      </c>
      <c r="C8" s="3" t="s">
        <v>1401</v>
      </c>
      <c r="D8" s="3" t="s">
        <v>1402</v>
      </c>
      <c r="E8" s="3" t="s">
        <v>1390</v>
      </c>
    </row>
    <row r="9" customFormat="false" ht="15" hidden="false" customHeight="false" outlineLevel="0" collapsed="false">
      <c r="A9" s="3" t="s">
        <v>1403</v>
      </c>
      <c r="B9" s="3" t="s">
        <v>1404</v>
      </c>
      <c r="C9" s="3" t="s">
        <v>1405</v>
      </c>
      <c r="D9" s="3" t="s">
        <v>1406</v>
      </c>
      <c r="E9" s="3" t="s">
        <v>1407</v>
      </c>
    </row>
    <row r="10" customFormat="false" ht="15" hidden="false" customHeight="false" outlineLevel="0" collapsed="false">
      <c r="A10" s="3" t="s">
        <v>1408</v>
      </c>
      <c r="B10" s="3" t="s">
        <v>1409</v>
      </c>
      <c r="C10" s="3" t="s">
        <v>1410</v>
      </c>
      <c r="D10" s="3" t="s">
        <v>1411</v>
      </c>
      <c r="E10" s="3" t="s">
        <v>1390</v>
      </c>
    </row>
    <row r="11" customFormat="false" ht="23.85" hidden="false" customHeight="false" outlineLevel="0" collapsed="false">
      <c r="A11" s="3" t="s">
        <v>1412</v>
      </c>
      <c r="B11" s="3" t="s">
        <v>1413</v>
      </c>
      <c r="C11" s="3" t="s">
        <v>1414</v>
      </c>
      <c r="D11" s="3" t="s">
        <v>1415</v>
      </c>
      <c r="E11" s="3" t="s">
        <v>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6"/>
    <col collapsed="false" customWidth="true" hidden="false" outlineLevel="0" max="10" min="3" style="0" width="10"/>
    <col collapsed="false" customWidth="true" hidden="false" outlineLevel="0" max="12" min="11" style="0" width="9"/>
    <col collapsed="false" customWidth="true" hidden="false" outlineLevel="0" max="13" min="13" style="0" width="6"/>
    <col collapsed="false" customWidth="true" hidden="false" outlineLevel="0" max="17" min="14" style="0" width="60"/>
  </cols>
  <sheetData>
    <row r="1" customFormat="false" ht="15" hidden="false" customHeight="false" outlineLevel="0" collapsed="false">
      <c r="A1" s="31" t="s">
        <v>1416</v>
      </c>
      <c r="B1" s="31"/>
      <c r="C1" s="31"/>
      <c r="D1" s="31"/>
      <c r="E1" s="31"/>
      <c r="F1" s="31"/>
      <c r="G1" s="31"/>
      <c r="H1" s="31"/>
      <c r="I1" s="31"/>
      <c r="J1" s="31"/>
      <c r="K1" s="31"/>
      <c r="L1" s="31"/>
      <c r="M1" s="31"/>
      <c r="N1" s="31"/>
    </row>
    <row r="2" customFormat="false" ht="15" hidden="false" customHeight="false" outlineLevel="0" collapsed="false">
      <c r="A2" s="15" t="s">
        <v>1417</v>
      </c>
      <c r="C2" s="32" t="n">
        <v>25</v>
      </c>
      <c r="D2" s="32" t="n">
        <v>10</v>
      </c>
      <c r="E2" s="32" t="n">
        <v>20</v>
      </c>
      <c r="F2" s="32" t="n">
        <v>15</v>
      </c>
      <c r="G2" s="32" t="n">
        <v>10</v>
      </c>
      <c r="H2" s="32" t="n">
        <v>10</v>
      </c>
      <c r="I2" s="32" t="n">
        <v>10</v>
      </c>
      <c r="J2" s="15" t="n">
        <f aca="false">SUM(C2:I2)</f>
        <v>100</v>
      </c>
    </row>
    <row r="3" customFormat="false" ht="35.05" hidden="false" customHeight="false" outlineLevel="0" collapsed="false">
      <c r="A3" s="4" t="s">
        <v>1418</v>
      </c>
      <c r="B3" s="4" t="s">
        <v>1419</v>
      </c>
      <c r="C3" s="4" t="s">
        <v>1420</v>
      </c>
      <c r="D3" s="4" t="s">
        <v>1421</v>
      </c>
      <c r="E3" s="4" t="s">
        <v>1422</v>
      </c>
      <c r="F3" s="4" t="s">
        <v>1423</v>
      </c>
      <c r="G3" s="4" t="s">
        <v>1424</v>
      </c>
      <c r="H3" s="4" t="s">
        <v>1425</v>
      </c>
      <c r="I3" s="4" t="s">
        <v>1426</v>
      </c>
      <c r="J3" s="4" t="s">
        <v>1427</v>
      </c>
      <c r="K3" s="4" t="s">
        <v>1428</v>
      </c>
      <c r="L3" s="4" t="s">
        <v>1429</v>
      </c>
      <c r="M3" s="4" t="s">
        <v>1430</v>
      </c>
      <c r="N3" s="4" t="s">
        <v>1431</v>
      </c>
      <c r="O3" s="4" t="s">
        <v>1432</v>
      </c>
      <c r="P3" s="4" t="s">
        <v>1433</v>
      </c>
      <c r="Q3" s="4" t="s">
        <v>1434</v>
      </c>
    </row>
    <row r="4" customFormat="false" ht="120" hidden="false" customHeight="true" outlineLevel="0" collapsed="false">
      <c r="A4" s="2" t="s">
        <v>1435</v>
      </c>
      <c r="B4" s="3" t="s">
        <v>1436</v>
      </c>
      <c r="C4" s="32" t="n">
        <v>8</v>
      </c>
      <c r="D4" s="32" t="n">
        <v>8</v>
      </c>
      <c r="E4" s="32" t="n">
        <v>8</v>
      </c>
      <c r="F4" s="32" t="n">
        <v>4</v>
      </c>
      <c r="G4" s="32" t="n">
        <v>7</v>
      </c>
      <c r="H4" s="32" t="n">
        <v>8</v>
      </c>
      <c r="I4" s="32" t="n">
        <v>8</v>
      </c>
      <c r="J4" s="33" t="n">
        <f aca="false">SUMPRODUCT($C$2:$I$2,C4:I4)/10</f>
        <v>73</v>
      </c>
      <c r="K4" s="27" t="n">
        <v>1</v>
      </c>
      <c r="L4" s="27" t="n">
        <v>4</v>
      </c>
      <c r="M4" s="15" t="str">
        <f aca="false">IF(AND(J4&gt;=75,K4&gt;=2,L4&gt;=3),"A",IF(J4&gt;=60,"B","C"))</f>
        <v>B</v>
      </c>
      <c r="N4" s="3" t="s">
        <v>1437</v>
      </c>
      <c r="O4" s="3" t="s">
        <v>1438</v>
      </c>
      <c r="P4" s="3" t="s">
        <v>1439</v>
      </c>
      <c r="Q4" s="3" t="s">
        <v>1440</v>
      </c>
    </row>
    <row r="5" customFormat="false" ht="120" hidden="false" customHeight="true" outlineLevel="0" collapsed="false">
      <c r="A5" s="2" t="s">
        <v>1441</v>
      </c>
      <c r="B5" s="3" t="s">
        <v>1442</v>
      </c>
      <c r="C5" s="32" t="n">
        <v>7</v>
      </c>
      <c r="D5" s="32" t="n">
        <v>7</v>
      </c>
      <c r="E5" s="32" t="n">
        <v>6</v>
      </c>
      <c r="F5" s="32" t="n">
        <v>7</v>
      </c>
      <c r="G5" s="32" t="n">
        <v>9</v>
      </c>
      <c r="H5" s="32" t="n">
        <v>6</v>
      </c>
      <c r="I5" s="32" t="n">
        <v>8</v>
      </c>
      <c r="J5" s="33" t="n">
        <f aca="false">SUMPRODUCT($C$2:$I$2,C5:I5)/10</f>
        <v>70</v>
      </c>
      <c r="K5" s="27" t="n">
        <v>1</v>
      </c>
      <c r="L5" s="27" t="n">
        <v>4</v>
      </c>
      <c r="M5" s="15" t="str">
        <f aca="false">IF(AND(J5&gt;=75,K5&gt;=2,L5&gt;=3),"A",IF(J5&gt;=60,"B","C"))</f>
        <v>B</v>
      </c>
      <c r="N5" s="3" t="s">
        <v>1443</v>
      </c>
      <c r="O5" s="3" t="s">
        <v>1444</v>
      </c>
      <c r="P5" s="3" t="s">
        <v>1445</v>
      </c>
      <c r="Q5" s="3" t="s">
        <v>1446</v>
      </c>
    </row>
    <row r="6" customFormat="false" ht="120" hidden="false" customHeight="true" outlineLevel="0" collapsed="false">
      <c r="A6" s="2" t="s">
        <v>1447</v>
      </c>
      <c r="B6" s="3" t="s">
        <v>1448</v>
      </c>
      <c r="C6" s="32" t="n">
        <v>5</v>
      </c>
      <c r="D6" s="32" t="n">
        <v>6</v>
      </c>
      <c r="E6" s="32" t="n">
        <v>8</v>
      </c>
      <c r="F6" s="32" t="n">
        <v>6</v>
      </c>
      <c r="G6" s="32" t="n">
        <v>6</v>
      </c>
      <c r="H6" s="32" t="n">
        <v>8</v>
      </c>
      <c r="I6" s="32" t="n">
        <v>8</v>
      </c>
      <c r="J6" s="33" t="n">
        <f aca="false">SUMPRODUCT($C$2:$I$2,C6:I6)/10</f>
        <v>65.5</v>
      </c>
      <c r="K6" s="27" t="n">
        <v>1</v>
      </c>
      <c r="L6" s="27" t="n">
        <v>4</v>
      </c>
      <c r="M6" s="15" t="str">
        <f aca="false">IF(AND(J6&gt;=75,K6&gt;=2,L6&gt;=3),"A",IF(J6&gt;=60,"B","C"))</f>
        <v>B</v>
      </c>
      <c r="N6" s="3" t="s">
        <v>1449</v>
      </c>
      <c r="O6" s="3" t="s">
        <v>1450</v>
      </c>
      <c r="P6" s="3" t="s">
        <v>1451</v>
      </c>
      <c r="Q6" s="3" t="s">
        <v>1452</v>
      </c>
    </row>
    <row r="7" customFormat="false" ht="120" hidden="false" customHeight="true" outlineLevel="0" collapsed="false">
      <c r="A7" s="2" t="s">
        <v>1453</v>
      </c>
      <c r="B7" s="3" t="s">
        <v>1454</v>
      </c>
      <c r="C7" s="32" t="n">
        <v>5</v>
      </c>
      <c r="D7" s="32" t="n">
        <v>6</v>
      </c>
      <c r="E7" s="32" t="n">
        <v>4</v>
      </c>
      <c r="F7" s="32" t="n">
        <v>6</v>
      </c>
      <c r="G7" s="32" t="n">
        <v>7</v>
      </c>
      <c r="H7" s="32" t="n">
        <v>8</v>
      </c>
      <c r="I7" s="32" t="n">
        <v>8</v>
      </c>
      <c r="J7" s="33" t="n">
        <f aca="false">SUMPRODUCT($C$2:$I$2,C7:I7)/10</f>
        <v>58.5</v>
      </c>
      <c r="K7" s="27" t="n">
        <v>1</v>
      </c>
      <c r="L7" s="27" t="n">
        <v>4</v>
      </c>
      <c r="M7" s="15" t="str">
        <f aca="false">IF(AND(J7&gt;=75,K7&gt;=2,L7&gt;=3),"A",IF(J7&gt;=60,"B","C"))</f>
        <v>C</v>
      </c>
      <c r="N7" s="3" t="s">
        <v>1455</v>
      </c>
      <c r="O7" s="3" t="s">
        <v>1456</v>
      </c>
      <c r="P7" s="3" t="s">
        <v>1457</v>
      </c>
      <c r="Q7" s="3" t="s">
        <v>1458</v>
      </c>
    </row>
    <row r="8" customFormat="false" ht="120" hidden="false" customHeight="true" outlineLevel="0" collapsed="false">
      <c r="A8" s="2" t="s">
        <v>1459</v>
      </c>
      <c r="B8" s="3" t="s">
        <v>1460</v>
      </c>
      <c r="C8" s="32" t="n">
        <v>6</v>
      </c>
      <c r="D8" s="32" t="n">
        <v>6</v>
      </c>
      <c r="E8" s="32" t="n">
        <v>4</v>
      </c>
      <c r="F8" s="32" t="n">
        <v>4</v>
      </c>
      <c r="G8" s="32" t="n">
        <v>6</v>
      </c>
      <c r="H8" s="32" t="n">
        <v>8</v>
      </c>
      <c r="I8" s="32" t="n">
        <v>8</v>
      </c>
      <c r="J8" s="33" t="n">
        <f aca="false">SUMPRODUCT($C$2:$I$2,C8:I8)/10</f>
        <v>57</v>
      </c>
      <c r="K8" s="27" t="n">
        <v>1</v>
      </c>
      <c r="L8" s="27" t="n">
        <v>4</v>
      </c>
      <c r="M8" s="15" t="str">
        <f aca="false">IF(AND(J8&gt;=75,K8&gt;=2,L8&gt;=3),"A",IF(J8&gt;=60,"B","C"))</f>
        <v>C</v>
      </c>
      <c r="N8" s="3" t="s">
        <v>1461</v>
      </c>
      <c r="O8" s="3" t="s">
        <v>1462</v>
      </c>
      <c r="P8" s="3" t="s">
        <v>1463</v>
      </c>
      <c r="Q8" s="3" t="s">
        <v>1464</v>
      </c>
    </row>
    <row r="9" customFormat="false" ht="120" hidden="false" customHeight="true" outlineLevel="0" collapsed="false">
      <c r="A9" s="2" t="s">
        <v>1465</v>
      </c>
      <c r="B9" s="3" t="s">
        <v>1466</v>
      </c>
      <c r="C9" s="32" t="n">
        <v>5</v>
      </c>
      <c r="D9" s="32" t="n">
        <v>3</v>
      </c>
      <c r="E9" s="32" t="n">
        <v>7</v>
      </c>
      <c r="F9" s="32" t="n">
        <v>8</v>
      </c>
      <c r="G9" s="32" t="n">
        <v>6</v>
      </c>
      <c r="H9" s="32" t="n">
        <v>5</v>
      </c>
      <c r="I9" s="32" t="n">
        <v>6</v>
      </c>
      <c r="J9" s="33" t="n">
        <f aca="false">SUMPRODUCT($C$2:$I$2,C9:I9)/10</f>
        <v>58.5</v>
      </c>
      <c r="K9" s="27" t="n">
        <v>1</v>
      </c>
      <c r="L9" s="27" t="n">
        <v>3</v>
      </c>
      <c r="M9" s="15" t="str">
        <f aca="false">IF(AND(J9&gt;=75,K9&gt;=2,L9&gt;=3),"A",IF(J9&gt;=60,"B","C"))</f>
        <v>C</v>
      </c>
      <c r="N9" s="3" t="s">
        <v>1467</v>
      </c>
      <c r="O9" s="3" t="s">
        <v>1468</v>
      </c>
      <c r="P9" s="3" t="s">
        <v>1469</v>
      </c>
      <c r="Q9" s="3" t="s">
        <v>1470</v>
      </c>
    </row>
    <row r="10" customFormat="false" ht="120" hidden="false" customHeight="true" outlineLevel="0" collapsed="false">
      <c r="A10" s="2" t="s">
        <v>1471</v>
      </c>
      <c r="B10" s="3" t="s">
        <v>1472</v>
      </c>
      <c r="C10" s="32" t="n">
        <v>4</v>
      </c>
      <c r="D10" s="32" t="n">
        <v>6</v>
      </c>
      <c r="E10" s="32" t="n">
        <v>5</v>
      </c>
      <c r="F10" s="32" t="n">
        <v>6</v>
      </c>
      <c r="G10" s="32" t="n">
        <v>6</v>
      </c>
      <c r="H10" s="32" t="n">
        <v>7</v>
      </c>
      <c r="I10" s="32" t="n">
        <v>8</v>
      </c>
      <c r="J10" s="33" t="n">
        <f aca="false">SUMPRODUCT($C$2:$I$2,C10:I10)/10</f>
        <v>56</v>
      </c>
      <c r="K10" s="27" t="n">
        <v>1</v>
      </c>
      <c r="L10" s="27" t="n">
        <v>3</v>
      </c>
      <c r="M10" s="15" t="str">
        <f aca="false">IF(AND(J10&gt;=75,K10&gt;=2,L10&gt;=3),"A",IF(J10&gt;=60,"B","C"))</f>
        <v>C</v>
      </c>
      <c r="N10" s="3" t="s">
        <v>1473</v>
      </c>
      <c r="O10" s="3" t="s">
        <v>1474</v>
      </c>
      <c r="P10" s="3" t="s">
        <v>1475</v>
      </c>
      <c r="Q10" s="3" t="s">
        <v>1476</v>
      </c>
    </row>
    <row r="11" customFormat="false" ht="120" hidden="false" customHeight="true" outlineLevel="0" collapsed="false">
      <c r="A11" s="2" t="s">
        <v>1477</v>
      </c>
      <c r="B11" s="3" t="s">
        <v>1478</v>
      </c>
      <c r="C11" s="32" t="n">
        <v>5</v>
      </c>
      <c r="D11" s="32" t="n">
        <v>5</v>
      </c>
      <c r="E11" s="32" t="n">
        <v>5</v>
      </c>
      <c r="F11" s="32" t="n">
        <v>3</v>
      </c>
      <c r="G11" s="32" t="n">
        <v>5</v>
      </c>
      <c r="H11" s="32" t="n">
        <v>5</v>
      </c>
      <c r="I11" s="32" t="n">
        <v>3</v>
      </c>
      <c r="J11" s="33" t="n">
        <f aca="false">SUMPRODUCT($C$2:$I$2,C11:I11)/10</f>
        <v>45</v>
      </c>
      <c r="K11" s="27" t="n">
        <v>1</v>
      </c>
      <c r="L11" s="27" t="n">
        <v>3</v>
      </c>
      <c r="M11" s="15" t="str">
        <f aca="false">IF(AND(J11&gt;=75,K11&gt;=2,L11&gt;=3),"A",IF(J11&gt;=60,"B","C"))</f>
        <v>C</v>
      </c>
      <c r="N11" s="3" t="s">
        <v>1479</v>
      </c>
      <c r="O11" s="3" t="s">
        <v>1480</v>
      </c>
      <c r="P11" s="3" t="s">
        <v>1481</v>
      </c>
      <c r="Q11" s="3" t="s">
        <v>1482</v>
      </c>
    </row>
    <row r="12" customFormat="false" ht="120" hidden="false" customHeight="true" outlineLevel="0" collapsed="false">
      <c r="A12" s="2" t="s">
        <v>1483</v>
      </c>
      <c r="B12" s="3" t="s">
        <v>71</v>
      </c>
      <c r="C12" s="32" t="n">
        <v>2</v>
      </c>
      <c r="D12" s="32" t="n">
        <v>3</v>
      </c>
      <c r="E12" s="32" t="n">
        <v>5</v>
      </c>
      <c r="F12" s="32" t="n">
        <v>8</v>
      </c>
      <c r="G12" s="32" t="n">
        <v>5</v>
      </c>
      <c r="H12" s="32" t="n">
        <v>4</v>
      </c>
      <c r="I12" s="32" t="n">
        <v>3</v>
      </c>
      <c r="J12" s="33" t="n">
        <f aca="false">SUMPRODUCT($C$2:$I$2,C12:I12)/10</f>
        <v>42</v>
      </c>
      <c r="K12" s="27" t="n">
        <v>1</v>
      </c>
      <c r="L12" s="27" t="n">
        <v>3</v>
      </c>
      <c r="M12" s="15" t="str">
        <f aca="false">IF(AND(J12&gt;=75,K12&gt;=2,L12&gt;=3),"A",IF(J12&gt;=60,"B","C"))</f>
        <v>C</v>
      </c>
      <c r="N12" s="3" t="s">
        <v>1484</v>
      </c>
      <c r="O12" s="3" t="s">
        <v>1485</v>
      </c>
      <c r="P12" s="3" t="s">
        <v>1486</v>
      </c>
      <c r="Q12" s="3" t="s">
        <v>1487</v>
      </c>
    </row>
    <row r="14" customFormat="false" ht="30" hidden="false" customHeight="true" outlineLevel="0" collapsed="false">
      <c r="A14" s="14" t="s">
        <v>1488</v>
      </c>
      <c r="B14" s="14"/>
      <c r="C14" s="14"/>
      <c r="D14" s="14"/>
      <c r="E14" s="14"/>
      <c r="F14" s="14"/>
      <c r="G14" s="14"/>
      <c r="H14" s="14"/>
      <c r="I14" s="14"/>
      <c r="J14" s="14"/>
      <c r="K14" s="14"/>
      <c r="L14" s="14"/>
      <c r="M14" s="14"/>
      <c r="N14" s="14"/>
    </row>
  </sheetData>
  <mergeCells count="2">
    <mergeCell ref="A1:N1"/>
    <mergeCell ref="A14:N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50"/>
    <col collapsed="false" customWidth="true" hidden="false" outlineLevel="0" max="4" min="3" style="0" width="10"/>
    <col collapsed="false" customWidth="true" hidden="false" outlineLevel="0" max="7" min="5" style="0" width="12"/>
    <col collapsed="false" customWidth="true" hidden="false" outlineLevel="0" max="8" min="8" style="0" width="11"/>
    <col collapsed="false" customWidth="true" hidden="false" outlineLevel="0" max="9" min="9" style="0" width="12"/>
  </cols>
  <sheetData>
    <row r="1" customFormat="false" ht="15" hidden="false" customHeight="false" outlineLevel="0" collapsed="false">
      <c r="A1" s="31" t="s">
        <v>1489</v>
      </c>
      <c r="B1" s="31"/>
      <c r="C1" s="31"/>
      <c r="D1" s="31"/>
      <c r="E1" s="31"/>
      <c r="F1" s="31"/>
      <c r="G1" s="31"/>
      <c r="H1" s="31"/>
      <c r="I1" s="31"/>
    </row>
    <row r="2" customFormat="false" ht="15" hidden="false" customHeight="false" outlineLevel="0" collapsed="false">
      <c r="A2" s="15" t="s">
        <v>1490</v>
      </c>
      <c r="C2" s="34" t="n">
        <f aca="false">MEDIAN(H4:H123)</f>
        <v>1.5242650930585</v>
      </c>
      <c r="D2" s="15" t="s">
        <v>1491</v>
      </c>
      <c r="G2" s="35" t="n">
        <f aca="false">COUNTIFS(H4:H123,"&gt;=0.5",H4:H123,"&lt;=2")/COUNT(H4:H123)</f>
        <v>0.883333333333333</v>
      </c>
    </row>
    <row r="3" customFormat="false" ht="35.05" hidden="false" customHeight="false" outlineLevel="0" collapsed="false">
      <c r="A3" s="4" t="s">
        <v>38</v>
      </c>
      <c r="B3" s="4" t="s">
        <v>1492</v>
      </c>
      <c r="C3" s="4" t="s">
        <v>1493</v>
      </c>
      <c r="D3" s="4" t="s">
        <v>1494</v>
      </c>
      <c r="E3" s="4" t="s">
        <v>1495</v>
      </c>
      <c r="F3" s="4" t="s">
        <v>1496</v>
      </c>
      <c r="G3" s="4" t="s">
        <v>1497</v>
      </c>
      <c r="H3" s="4" t="s">
        <v>1498</v>
      </c>
      <c r="I3" s="4" t="s">
        <v>1499</v>
      </c>
    </row>
    <row r="4" customFormat="false" ht="15" hidden="false" customHeight="false" outlineLevel="0" collapsed="false">
      <c r="A4" s="6" t="s">
        <v>42</v>
      </c>
      <c r="B4" s="3" t="s">
        <v>1500</v>
      </c>
      <c r="C4" s="12" t="n">
        <v>9642</v>
      </c>
      <c r="D4" s="28" t="n">
        <v>7.95</v>
      </c>
      <c r="E4" s="36" t="n">
        <v>2671</v>
      </c>
      <c r="F4" s="10" t="n">
        <f aca="false">EXP(LN(INDEX(BSR_Table!$B$2:$B$14,MIN(MATCH(C4,BSR_Table!$A$2:$A$14,1),12)))+(LN(C4)-LN(INDEX(BSR_Table!$A$2:$A$14,MIN(MATCH(C4,BSR_Table!$A$2:$A$14,1),12))))*(LN(INDEX(BSR_Table!$B$2:$B$14,MIN(MATCH(C4,BSR_Table!$A$2:$A$14,1),12)+1))-LN(INDEX(BSR_Table!$B$2:$B$14,MIN(MATCH(C4,BSR_Table!$A$2:$A$14,1),12))))/(LN(INDEX(BSR_Table!$A$2:$A$14,MIN(MATCH(C4,BSR_Table!$A$2:$A$14,1),12)+1))-LN(INDEX(BSR_Table!$A$2:$A$14,MIN(MATCH(C4,BSR_Table!$A$2:$A$14,1),12)))))</f>
        <v>20.4310945008196</v>
      </c>
      <c r="G4" s="24" t="n">
        <f aca="false">F4*Sales_Estimates!$B$6*D4</f>
        <v>4872.81603844547</v>
      </c>
      <c r="H4" s="23" t="n">
        <f aca="false">G4/E4</f>
        <v>1.82434145954529</v>
      </c>
      <c r="I4" s="6" t="s">
        <v>127</v>
      </c>
    </row>
    <row r="5" customFormat="false" ht="15" hidden="false" customHeight="false" outlineLevel="0" collapsed="false">
      <c r="A5" s="6" t="s">
        <v>42</v>
      </c>
      <c r="B5" s="3" t="s">
        <v>1501</v>
      </c>
      <c r="C5" s="12" t="n">
        <v>24174</v>
      </c>
      <c r="D5" s="28" t="n">
        <v>8.99</v>
      </c>
      <c r="E5" s="36" t="n">
        <v>1762</v>
      </c>
      <c r="F5" s="10" t="n">
        <f aca="false">EXP(LN(INDEX(BSR_Table!$B$2:$B$14,MIN(MATCH(C5,BSR_Table!$A$2:$A$14,1),12)))+(LN(C5)-LN(INDEX(BSR_Table!$A$2:$A$14,MIN(MATCH(C5,BSR_Table!$A$2:$A$14,1),12))))*(LN(INDEX(BSR_Table!$B$2:$B$14,MIN(MATCH(C5,BSR_Table!$A$2:$A$14,1),12)+1))-LN(INDEX(BSR_Table!$B$2:$B$14,MIN(MATCH(C5,BSR_Table!$A$2:$A$14,1),12))))/(LN(INDEX(BSR_Table!$A$2:$A$14,MIN(MATCH(C5,BSR_Table!$A$2:$A$14,1),12)+1))-LN(INDEX(BSR_Table!$A$2:$A$14,MIN(MATCH(C5,BSR_Table!$A$2:$A$14,1),12)))))</f>
        <v>8.2733515347067</v>
      </c>
      <c r="G5" s="24" t="n">
        <f aca="false">F5*Sales_Estimates!$B$6*D5</f>
        <v>2231.3229089104</v>
      </c>
      <c r="H5" s="23" t="n">
        <f aca="false">G5/E5</f>
        <v>1.26635806408082</v>
      </c>
      <c r="I5" s="6" t="s">
        <v>127</v>
      </c>
    </row>
    <row r="6" customFormat="false" ht="23.85" hidden="false" customHeight="false" outlineLevel="0" collapsed="false">
      <c r="A6" s="6" t="s">
        <v>42</v>
      </c>
      <c r="B6" s="3" t="s">
        <v>1502</v>
      </c>
      <c r="C6" s="12" t="n">
        <v>28860</v>
      </c>
      <c r="D6" s="28" t="n">
        <v>1.99</v>
      </c>
      <c r="E6" s="36" t="n">
        <v>334</v>
      </c>
      <c r="F6" s="10" t="n">
        <f aca="false">EXP(LN(INDEX(BSR_Table!$B$2:$B$14,MIN(MATCH(C6,BSR_Table!$A$2:$A$14,1),12)))+(LN(C6)-LN(INDEX(BSR_Table!$A$2:$A$14,MIN(MATCH(C6,BSR_Table!$A$2:$A$14,1),12))))*(LN(INDEX(BSR_Table!$B$2:$B$14,MIN(MATCH(C6,BSR_Table!$A$2:$A$14,1),12)+1))-LN(INDEX(BSR_Table!$B$2:$B$14,MIN(MATCH(C6,BSR_Table!$A$2:$A$14,1),12))))/(LN(INDEX(BSR_Table!$A$2:$A$14,MIN(MATCH(C6,BSR_Table!$A$2:$A$14,1),12)+1))-LN(INDEX(BSR_Table!$A$2:$A$14,MIN(MATCH(C6,BSR_Table!$A$2:$A$14,1),12)))))</f>
        <v>6.93000693000693</v>
      </c>
      <c r="G6" s="24" t="n">
        <f aca="false">F6*Sales_Estimates!$B$6*D6</f>
        <v>413.721413721414</v>
      </c>
      <c r="H6" s="23" t="n">
        <f aca="false">G6/E6</f>
        <v>1.23868686742938</v>
      </c>
      <c r="I6" s="6" t="s">
        <v>119</v>
      </c>
    </row>
    <row r="7" customFormat="false" ht="23.85" hidden="false" customHeight="false" outlineLevel="0" collapsed="false">
      <c r="A7" s="6" t="s">
        <v>42</v>
      </c>
      <c r="B7" s="3" t="s">
        <v>1503</v>
      </c>
      <c r="C7" s="12" t="n">
        <v>39572</v>
      </c>
      <c r="D7" s="28" t="n">
        <v>5</v>
      </c>
      <c r="E7" s="36" t="n">
        <v>560</v>
      </c>
      <c r="F7" s="10" t="n">
        <f aca="false">EXP(LN(INDEX(BSR_Table!$B$2:$B$14,MIN(MATCH(C7,BSR_Table!$A$2:$A$14,1),12)))+(LN(C7)-LN(INDEX(BSR_Table!$A$2:$A$14,MIN(MATCH(C7,BSR_Table!$A$2:$A$14,1),12))))*(LN(INDEX(BSR_Table!$B$2:$B$14,MIN(MATCH(C7,BSR_Table!$A$2:$A$14,1),12)+1))-LN(INDEX(BSR_Table!$B$2:$B$14,MIN(MATCH(C7,BSR_Table!$A$2:$A$14,1),12))))/(LN(INDEX(BSR_Table!$A$2:$A$14,MIN(MATCH(C7,BSR_Table!$A$2:$A$14,1),12)+1))-LN(INDEX(BSR_Table!$A$2:$A$14,MIN(MATCH(C7,BSR_Table!$A$2:$A$14,1),12)))))</f>
        <v>5.05407864146366</v>
      </c>
      <c r="G7" s="24" t="n">
        <f aca="false">F7*Sales_Estimates!$B$6*D7</f>
        <v>758.111796219549</v>
      </c>
      <c r="H7" s="23" t="n">
        <f aca="false">G7/E7</f>
        <v>1.35377106467777</v>
      </c>
      <c r="I7" s="6" t="s">
        <v>127</v>
      </c>
    </row>
    <row r="8" customFormat="false" ht="15" hidden="false" customHeight="false" outlineLevel="0" collapsed="false">
      <c r="A8" s="6" t="s">
        <v>42</v>
      </c>
      <c r="B8" s="3" t="s">
        <v>1504</v>
      </c>
      <c r="C8" s="12" t="n">
        <v>46029</v>
      </c>
      <c r="D8" s="28" t="n">
        <v>9.99</v>
      </c>
      <c r="E8" s="36" t="n">
        <v>839</v>
      </c>
      <c r="F8" s="10" t="n">
        <f aca="false">EXP(LN(INDEX(BSR_Table!$B$2:$B$14,MIN(MATCH(C8,BSR_Table!$A$2:$A$14,1),12)))+(LN(C8)-LN(INDEX(BSR_Table!$A$2:$A$14,MIN(MATCH(C8,BSR_Table!$A$2:$A$14,1),12))))*(LN(INDEX(BSR_Table!$B$2:$B$14,MIN(MATCH(C8,BSR_Table!$A$2:$A$14,1),12)+1))-LN(INDEX(BSR_Table!$B$2:$B$14,MIN(MATCH(C8,BSR_Table!$A$2:$A$14,1),12))))/(LN(INDEX(BSR_Table!$A$2:$A$14,MIN(MATCH(C8,BSR_Table!$A$2:$A$14,1),12)+1))-LN(INDEX(BSR_Table!$A$2:$A$14,MIN(MATCH(C8,BSR_Table!$A$2:$A$14,1),12)))))</f>
        <v>4.34508679310869</v>
      </c>
      <c r="G8" s="24" t="n">
        <f aca="false">F8*Sales_Estimates!$B$6*D8</f>
        <v>1302.22251189468</v>
      </c>
      <c r="H8" s="23" t="n">
        <f aca="false">G8/E8</f>
        <v>1.55211264826541</v>
      </c>
      <c r="I8" s="6" t="s">
        <v>127</v>
      </c>
    </row>
    <row r="9" customFormat="false" ht="15" hidden="false" customHeight="false" outlineLevel="0" collapsed="false">
      <c r="A9" s="6" t="s">
        <v>42</v>
      </c>
      <c r="B9" s="3" t="s">
        <v>1505</v>
      </c>
      <c r="C9" s="12" t="n">
        <v>50812</v>
      </c>
      <c r="D9" s="28" t="n">
        <v>0.99</v>
      </c>
      <c r="E9" s="36" t="n">
        <v>55</v>
      </c>
      <c r="F9" s="10" t="n">
        <f aca="false">EXP(LN(INDEX(BSR_Table!$B$2:$B$14,MIN(MATCH(C9,BSR_Table!$A$2:$A$14,1),12)))+(LN(C9)-LN(INDEX(BSR_Table!$A$2:$A$14,MIN(MATCH(C9,BSR_Table!$A$2:$A$14,1),12))))*(LN(INDEX(BSR_Table!$B$2:$B$14,MIN(MATCH(C9,BSR_Table!$A$2:$A$14,1),12)+1))-LN(INDEX(BSR_Table!$B$2:$B$14,MIN(MATCH(C9,BSR_Table!$A$2:$A$14,1),12))))/(LN(INDEX(BSR_Table!$A$2:$A$14,MIN(MATCH(C9,BSR_Table!$A$2:$A$14,1),12)+1))-LN(INDEX(BSR_Table!$A$2:$A$14,MIN(MATCH(C9,BSR_Table!$A$2:$A$14,1),12)))))</f>
        <v>3.90984900447947</v>
      </c>
      <c r="G9" s="24" t="n">
        <f aca="false">F9*Sales_Estimates!$B$6*D9</f>
        <v>116.12251543304</v>
      </c>
      <c r="H9" s="23" t="n">
        <f aca="false">G9/E9</f>
        <v>2.11131846241892</v>
      </c>
      <c r="I9" s="6" t="s">
        <v>127</v>
      </c>
    </row>
    <row r="10" customFormat="false" ht="46.25" hidden="false" customHeight="false" outlineLevel="0" collapsed="false">
      <c r="A10" s="6" t="s">
        <v>42</v>
      </c>
      <c r="B10" s="3" t="s">
        <v>149</v>
      </c>
      <c r="C10" s="12" t="n">
        <v>53897</v>
      </c>
      <c r="D10" s="28" t="n">
        <v>2.99</v>
      </c>
      <c r="E10" s="36" t="n">
        <v>167</v>
      </c>
      <c r="F10" s="10" t="n">
        <f aca="false">EXP(LN(INDEX(BSR_Table!$B$2:$B$14,MIN(MATCH(C10,BSR_Table!$A$2:$A$14,1),12)))+(LN(C10)-LN(INDEX(BSR_Table!$A$2:$A$14,MIN(MATCH(C10,BSR_Table!$A$2:$A$14,1),12))))*(LN(INDEX(BSR_Table!$B$2:$B$14,MIN(MATCH(C10,BSR_Table!$A$2:$A$14,1),12)+1))-LN(INDEX(BSR_Table!$B$2:$B$14,MIN(MATCH(C10,BSR_Table!$A$2:$A$14,1),12))))/(LN(INDEX(BSR_Table!$A$2:$A$14,MIN(MATCH(C10,BSR_Table!$A$2:$A$14,1),12)+1))-LN(INDEX(BSR_Table!$A$2:$A$14,MIN(MATCH(C10,BSR_Table!$A$2:$A$14,1),12)))))</f>
        <v>3.59697506423608</v>
      </c>
      <c r="G10" s="24" t="n">
        <f aca="false">F10*Sales_Estimates!$B$6*D10</f>
        <v>322.648663261976</v>
      </c>
      <c r="H10" s="23" t="n">
        <f aca="false">G10/E10</f>
        <v>1.93202792372441</v>
      </c>
      <c r="I10" s="6" t="s">
        <v>127</v>
      </c>
    </row>
    <row r="11" customFormat="false" ht="15" hidden="false" customHeight="false" outlineLevel="0" collapsed="false">
      <c r="A11" s="6" t="s">
        <v>42</v>
      </c>
      <c r="B11" s="3" t="s">
        <v>1506</v>
      </c>
      <c r="C11" s="12" t="n">
        <v>57729</v>
      </c>
      <c r="D11" s="28" t="n">
        <v>5.99</v>
      </c>
      <c r="E11" s="36" t="n">
        <v>167</v>
      </c>
      <c r="F11" s="10" t="n">
        <f aca="false">EXP(LN(INDEX(BSR_Table!$B$2:$B$14,MIN(MATCH(C11,BSR_Table!$A$2:$A$14,1),12)))+(LN(C11)-LN(INDEX(BSR_Table!$A$2:$A$14,MIN(MATCH(C11,BSR_Table!$A$2:$A$14,1),12))))*(LN(INDEX(BSR_Table!$B$2:$B$14,MIN(MATCH(C11,BSR_Table!$A$2:$A$14,1),12)+1))-LN(INDEX(BSR_Table!$B$2:$B$14,MIN(MATCH(C11,BSR_Table!$A$2:$A$14,1),12))))/(LN(INDEX(BSR_Table!$A$2:$A$14,MIN(MATCH(C11,BSR_Table!$A$2:$A$14,1),12)+1))-LN(INDEX(BSR_Table!$A$2:$A$14,MIN(MATCH(C11,BSR_Table!$A$2:$A$14,1),12)))))</f>
        <v>3.26383088448314</v>
      </c>
      <c r="G11" s="24" t="n">
        <f aca="false">F11*Sales_Estimates!$B$6*D11</f>
        <v>586.510409941621</v>
      </c>
      <c r="H11" s="23" t="n">
        <f aca="false">G11/E11</f>
        <v>3.51203838288396</v>
      </c>
      <c r="I11" s="6" t="s">
        <v>119</v>
      </c>
    </row>
    <row r="12" customFormat="false" ht="23.85" hidden="false" customHeight="false" outlineLevel="0" collapsed="false">
      <c r="A12" s="6" t="s">
        <v>42</v>
      </c>
      <c r="B12" s="3" t="s">
        <v>1507</v>
      </c>
      <c r="C12" s="12" t="n">
        <v>58090</v>
      </c>
      <c r="D12" s="28" t="n">
        <v>4.99</v>
      </c>
      <c r="E12" s="36" t="n">
        <v>139</v>
      </c>
      <c r="F12" s="10" t="n">
        <f aca="false">EXP(LN(INDEX(BSR_Table!$B$2:$B$14,MIN(MATCH(C12,BSR_Table!$A$2:$A$14,1),12)))+(LN(C12)-LN(INDEX(BSR_Table!$A$2:$A$14,MIN(MATCH(C12,BSR_Table!$A$2:$A$14,1),12))))*(LN(INDEX(BSR_Table!$B$2:$B$14,MIN(MATCH(C12,BSR_Table!$A$2:$A$14,1),12)+1))-LN(INDEX(BSR_Table!$B$2:$B$14,MIN(MATCH(C12,BSR_Table!$A$2:$A$14,1),12))))/(LN(INDEX(BSR_Table!$A$2:$A$14,MIN(MATCH(C12,BSR_Table!$A$2:$A$14,1),12)+1))-LN(INDEX(BSR_Table!$A$2:$A$14,MIN(MATCH(C12,BSR_Table!$A$2:$A$14,1),12)))))</f>
        <v>3.23516665297201</v>
      </c>
      <c r="G12" s="24" t="n">
        <f aca="false">F12*Sales_Estimates!$B$6*D12</f>
        <v>484.30444794991</v>
      </c>
      <c r="H12" s="23" t="n">
        <f aca="false">G12/E12</f>
        <v>3.48420466151014</v>
      </c>
      <c r="I12" s="6" t="s">
        <v>119</v>
      </c>
    </row>
    <row r="13" customFormat="false" ht="15" hidden="false" customHeight="false" outlineLevel="0" collapsed="false">
      <c r="A13" s="6" t="s">
        <v>42</v>
      </c>
      <c r="B13" s="3" t="s">
        <v>1508</v>
      </c>
      <c r="C13" s="12" t="n">
        <v>64845</v>
      </c>
      <c r="D13" s="28" t="n">
        <v>0.99</v>
      </c>
      <c r="E13" s="36" t="n">
        <v>27</v>
      </c>
      <c r="F13" s="10" t="n">
        <f aca="false">EXP(LN(INDEX(BSR_Table!$B$2:$B$14,MIN(MATCH(C13,BSR_Table!$A$2:$A$14,1),12)))+(LN(C13)-LN(INDEX(BSR_Table!$A$2:$A$14,MIN(MATCH(C13,BSR_Table!$A$2:$A$14,1),12))))*(LN(INDEX(BSR_Table!$B$2:$B$14,MIN(MATCH(C13,BSR_Table!$A$2:$A$14,1),12)+1))-LN(INDEX(BSR_Table!$B$2:$B$14,MIN(MATCH(C13,BSR_Table!$A$2:$A$14,1),12))))/(LN(INDEX(BSR_Table!$A$2:$A$14,MIN(MATCH(C13,BSR_Table!$A$2:$A$14,1),12)+1))-LN(INDEX(BSR_Table!$A$2:$A$14,MIN(MATCH(C13,BSR_Table!$A$2:$A$14,1),12)))))</f>
        <v>2.76880948291965</v>
      </c>
      <c r="G13" s="24" t="n">
        <f aca="false">F13*Sales_Estimates!$B$6*D13</f>
        <v>82.2336416427135</v>
      </c>
      <c r="H13" s="23" t="n">
        <f aca="false">G13/E13</f>
        <v>3.04569043121161</v>
      </c>
      <c r="I13" s="6" t="s">
        <v>119</v>
      </c>
    </row>
    <row r="14" customFormat="false" ht="23.85" hidden="false" customHeight="false" outlineLevel="0" collapsed="false">
      <c r="A14" s="6" t="s">
        <v>42</v>
      </c>
      <c r="B14" s="3" t="s">
        <v>1509</v>
      </c>
      <c r="C14" s="12" t="n">
        <v>66314</v>
      </c>
      <c r="D14" s="28" t="n">
        <v>9.99</v>
      </c>
      <c r="E14" s="36" t="n">
        <v>279</v>
      </c>
      <c r="F14" s="10" t="n">
        <f aca="false">EXP(LN(INDEX(BSR_Table!$B$2:$B$14,MIN(MATCH(C14,BSR_Table!$A$2:$A$14,1),12)))+(LN(C14)-LN(INDEX(BSR_Table!$A$2:$A$14,MIN(MATCH(C14,BSR_Table!$A$2:$A$14,1),12))))*(LN(INDEX(BSR_Table!$B$2:$B$14,MIN(MATCH(C14,BSR_Table!$A$2:$A$14,1),12)+1))-LN(INDEX(BSR_Table!$B$2:$B$14,MIN(MATCH(C14,BSR_Table!$A$2:$A$14,1),12))))/(LN(INDEX(BSR_Table!$A$2:$A$14,MIN(MATCH(C14,BSR_Table!$A$2:$A$14,1),12)+1))-LN(INDEX(BSR_Table!$A$2:$A$14,MIN(MATCH(C14,BSR_Table!$A$2:$A$14,1),12)))))</f>
        <v>2.68241862211905</v>
      </c>
      <c r="G14" s="24" t="n">
        <f aca="false">F14*Sales_Estimates!$B$6*D14</f>
        <v>803.920861049078</v>
      </c>
      <c r="H14" s="23" t="n">
        <f aca="false">G14/E14</f>
        <v>2.88143677795368</v>
      </c>
      <c r="I14" s="6" t="s">
        <v>119</v>
      </c>
    </row>
    <row r="15" customFormat="false" ht="23.85" hidden="false" customHeight="false" outlineLevel="0" collapsed="false">
      <c r="A15" s="6" t="s">
        <v>42</v>
      </c>
      <c r="B15" s="3" t="s">
        <v>1510</v>
      </c>
      <c r="C15" s="12" t="n">
        <v>73604</v>
      </c>
      <c r="D15" s="28" t="n">
        <v>9.99</v>
      </c>
      <c r="E15" s="36" t="n">
        <v>279</v>
      </c>
      <c r="F15" s="10" t="n">
        <f aca="false">EXP(LN(INDEX(BSR_Table!$B$2:$B$14,MIN(MATCH(C15,BSR_Table!$A$2:$A$14,1),12)))+(LN(C15)-LN(INDEX(BSR_Table!$A$2:$A$14,MIN(MATCH(C15,BSR_Table!$A$2:$A$14,1),12))))*(LN(INDEX(BSR_Table!$B$2:$B$14,MIN(MATCH(C15,BSR_Table!$A$2:$A$14,1),12)+1))-LN(INDEX(BSR_Table!$B$2:$B$14,MIN(MATCH(C15,BSR_Table!$A$2:$A$14,1),12))))/(LN(INDEX(BSR_Table!$A$2:$A$14,MIN(MATCH(C15,BSR_Table!$A$2:$A$14,1),12)+1))-LN(INDEX(BSR_Table!$A$2:$A$14,MIN(MATCH(C15,BSR_Table!$A$2:$A$14,1),12)))))</f>
        <v>2.31435909921303</v>
      </c>
      <c r="G15" s="24" t="n">
        <f aca="false">F15*Sales_Estimates!$B$6*D15</f>
        <v>693.613422034144</v>
      </c>
      <c r="H15" s="23" t="n">
        <f aca="false">G15/E15</f>
        <v>2.48606961302561</v>
      </c>
      <c r="I15" s="6" t="s">
        <v>119</v>
      </c>
    </row>
    <row r="16" customFormat="false" ht="35.05" hidden="false" customHeight="false" outlineLevel="0" collapsed="false">
      <c r="A16" s="6" t="s">
        <v>42</v>
      </c>
      <c r="B16" s="3" t="s">
        <v>1511</v>
      </c>
      <c r="C16" s="12" t="n">
        <v>75584</v>
      </c>
      <c r="D16" s="28" t="n">
        <v>9.99</v>
      </c>
      <c r="E16" s="36" t="n">
        <v>279</v>
      </c>
      <c r="F16" s="10" t="n">
        <f aca="false">EXP(LN(INDEX(BSR_Table!$B$2:$B$14,MIN(MATCH(C16,BSR_Table!$A$2:$A$14,1),12)))+(LN(C16)-LN(INDEX(BSR_Table!$A$2:$A$14,MIN(MATCH(C16,BSR_Table!$A$2:$A$14,1),12))))*(LN(INDEX(BSR_Table!$B$2:$B$14,MIN(MATCH(C16,BSR_Table!$A$2:$A$14,1),12)+1))-LN(INDEX(BSR_Table!$B$2:$B$14,MIN(MATCH(C16,BSR_Table!$A$2:$A$14,1),12))))/(LN(INDEX(BSR_Table!$A$2:$A$14,MIN(MATCH(C16,BSR_Table!$A$2:$A$14,1),12)+1))-LN(INDEX(BSR_Table!$A$2:$A$14,MIN(MATCH(C16,BSR_Table!$A$2:$A$14,1),12)))))</f>
        <v>2.22903839657412</v>
      </c>
      <c r="G16" s="24" t="n">
        <f aca="false">F16*Sales_Estimates!$B$6*D16</f>
        <v>668.042807453263</v>
      </c>
      <c r="H16" s="23" t="n">
        <f aca="false">G16/E16</f>
        <v>2.39441866470704</v>
      </c>
      <c r="I16" s="6" t="s">
        <v>127</v>
      </c>
    </row>
    <row r="17" customFormat="false" ht="15" hidden="false" customHeight="false" outlineLevel="0" collapsed="false">
      <c r="A17" s="6" t="s">
        <v>42</v>
      </c>
      <c r="B17" s="3" t="s">
        <v>1512</v>
      </c>
      <c r="C17" s="12" t="n">
        <v>87442</v>
      </c>
      <c r="D17" s="28" t="n">
        <v>7.99</v>
      </c>
      <c r="E17" s="36" t="n">
        <v>223</v>
      </c>
      <c r="F17" s="10" t="n">
        <f aca="false">EXP(LN(INDEX(BSR_Table!$B$2:$B$14,MIN(MATCH(C17,BSR_Table!$A$2:$A$14,1),12)))+(LN(C17)-LN(INDEX(BSR_Table!$A$2:$A$14,MIN(MATCH(C17,BSR_Table!$A$2:$A$14,1),12))))*(LN(INDEX(BSR_Table!$B$2:$B$14,MIN(MATCH(C17,BSR_Table!$A$2:$A$14,1),12)+1))-LN(INDEX(BSR_Table!$B$2:$B$14,MIN(MATCH(C17,BSR_Table!$A$2:$A$14,1),12))))/(LN(INDEX(BSR_Table!$A$2:$A$14,MIN(MATCH(C17,BSR_Table!$A$2:$A$14,1),12)+1))-LN(INDEX(BSR_Table!$A$2:$A$14,MIN(MATCH(C17,BSR_Table!$A$2:$A$14,1),12)))))</f>
        <v>1.81367525600859</v>
      </c>
      <c r="G17" s="24" t="n">
        <f aca="false">F17*Sales_Estimates!$B$6*D17</f>
        <v>434.73795886526</v>
      </c>
      <c r="H17" s="23" t="n">
        <f aca="false">G17/E17</f>
        <v>1.94949757338682</v>
      </c>
      <c r="I17" s="6" t="s">
        <v>119</v>
      </c>
    </row>
    <row r="18" customFormat="false" ht="15" hidden="false" customHeight="false" outlineLevel="0" collapsed="false">
      <c r="A18" s="6" t="s">
        <v>42</v>
      </c>
      <c r="B18" s="3" t="s">
        <v>1513</v>
      </c>
      <c r="C18" s="12" t="n">
        <v>88260</v>
      </c>
      <c r="D18" s="28" t="n">
        <v>8.22</v>
      </c>
      <c r="E18" s="36" t="n">
        <v>230</v>
      </c>
      <c r="F18" s="10" t="n">
        <f aca="false">EXP(LN(INDEX(BSR_Table!$B$2:$B$14,MIN(MATCH(C18,BSR_Table!$A$2:$A$14,1),12)))+(LN(C18)-LN(INDEX(BSR_Table!$A$2:$A$14,MIN(MATCH(C18,BSR_Table!$A$2:$A$14,1),12))))*(LN(INDEX(BSR_Table!$B$2:$B$14,MIN(MATCH(C18,BSR_Table!$A$2:$A$14,1),12)+1))-LN(INDEX(BSR_Table!$B$2:$B$14,MIN(MATCH(C18,BSR_Table!$A$2:$A$14,1),12))))/(LN(INDEX(BSR_Table!$A$2:$A$14,MIN(MATCH(C18,BSR_Table!$A$2:$A$14,1),12)+1))-LN(INDEX(BSR_Table!$A$2:$A$14,MIN(MATCH(C18,BSR_Table!$A$2:$A$14,1),12)))))</f>
        <v>1.78993533566802</v>
      </c>
      <c r="G18" s="24" t="n">
        <f aca="false">F18*Sales_Estimates!$B$6*D18</f>
        <v>441.398053775735</v>
      </c>
      <c r="H18" s="23" t="n">
        <f aca="false">G18/E18</f>
        <v>1.91912197293798</v>
      </c>
      <c r="I18" s="6" t="s">
        <v>119</v>
      </c>
    </row>
    <row r="19" customFormat="false" ht="23.85" hidden="false" customHeight="false" outlineLevel="0" collapsed="false">
      <c r="A19" s="6" t="s">
        <v>46</v>
      </c>
      <c r="B19" s="3" t="s">
        <v>271</v>
      </c>
      <c r="C19" s="12" t="n">
        <v>730</v>
      </c>
      <c r="D19" s="28" t="n">
        <v>12.99</v>
      </c>
      <c r="E19" s="36" t="n">
        <v>38190</v>
      </c>
      <c r="F19" s="10" t="n">
        <f aca="false">EXP(LN(INDEX(BSR_Table!$B$2:$B$14,MIN(MATCH(C19,BSR_Table!$A$2:$A$14,1),12)))+(LN(C19)-LN(INDEX(BSR_Table!$A$2:$A$14,MIN(MATCH(C19,BSR_Table!$A$2:$A$14,1),12))))*(LN(INDEX(BSR_Table!$B$2:$B$14,MIN(MATCH(C19,BSR_Table!$A$2:$A$14,1),12)+1))-LN(INDEX(BSR_Table!$B$2:$B$14,MIN(MATCH(C19,BSR_Table!$A$2:$A$14,1),12))))/(LN(INDEX(BSR_Table!$A$2:$A$14,MIN(MATCH(C19,BSR_Table!$A$2:$A$14,1),12)+1))-LN(INDEX(BSR_Table!$A$2:$A$14,MIN(MATCH(C19,BSR_Table!$A$2:$A$14,1),12)))))</f>
        <v>176.30082557665</v>
      </c>
      <c r="G19" s="24" t="n">
        <f aca="false">F19*Sales_Estimates!$B$6*D19</f>
        <v>68704.4317272204</v>
      </c>
      <c r="H19" s="23" t="n">
        <f aca="false">G19/E19</f>
        <v>1.79901627984343</v>
      </c>
      <c r="I19" s="6" t="s">
        <v>119</v>
      </c>
    </row>
    <row r="20" customFormat="false" ht="15" hidden="false" customHeight="false" outlineLevel="0" collapsed="false">
      <c r="A20" s="6" t="s">
        <v>46</v>
      </c>
      <c r="B20" s="3" t="s">
        <v>1514</v>
      </c>
      <c r="C20" s="12" t="n">
        <v>1787</v>
      </c>
      <c r="D20" s="28" t="n">
        <v>15.99</v>
      </c>
      <c r="E20" s="36" t="n">
        <v>27758</v>
      </c>
      <c r="F20" s="10" t="n">
        <f aca="false">EXP(LN(INDEX(BSR_Table!$B$2:$B$14,MIN(MATCH(C20,BSR_Table!$A$2:$A$14,1),12)))+(LN(C20)-LN(INDEX(BSR_Table!$A$2:$A$14,MIN(MATCH(C20,BSR_Table!$A$2:$A$14,1),12))))*(LN(INDEX(BSR_Table!$B$2:$B$14,MIN(MATCH(C20,BSR_Table!$A$2:$A$14,1),12)+1))-LN(INDEX(BSR_Table!$B$2:$B$14,MIN(MATCH(C20,BSR_Table!$A$2:$A$14,1),12))))/(LN(INDEX(BSR_Table!$A$2:$A$14,MIN(MATCH(C20,BSR_Table!$A$2:$A$14,1),12)+1))-LN(INDEX(BSR_Table!$A$2:$A$14,MIN(MATCH(C20,BSR_Table!$A$2:$A$14,1),12)))))</f>
        <v>71.8077527126462</v>
      </c>
      <c r="G20" s="24" t="n">
        <f aca="false">F20*Sales_Estimates!$B$6*D20</f>
        <v>34446.1789762564</v>
      </c>
      <c r="H20" s="23" t="n">
        <f aca="false">G20/E20</f>
        <v>1.24094599669488</v>
      </c>
      <c r="I20" s="6" t="s">
        <v>119</v>
      </c>
    </row>
    <row r="21" customFormat="false" ht="23.85" hidden="false" customHeight="false" outlineLevel="0" collapsed="false">
      <c r="A21" s="6" t="s">
        <v>46</v>
      </c>
      <c r="B21" s="3" t="s">
        <v>293</v>
      </c>
      <c r="C21" s="12" t="n">
        <v>1950</v>
      </c>
      <c r="D21" s="28" t="n">
        <v>12.99</v>
      </c>
      <c r="E21" s="36" t="n">
        <v>21095</v>
      </c>
      <c r="F21" s="10" t="n">
        <f aca="false">EXP(LN(INDEX(BSR_Table!$B$2:$B$14,MIN(MATCH(C21,BSR_Table!$A$2:$A$14,1),12)))+(LN(C21)-LN(INDEX(BSR_Table!$A$2:$A$14,MIN(MATCH(C21,BSR_Table!$A$2:$A$14,1),12))))*(LN(INDEX(BSR_Table!$B$2:$B$14,MIN(MATCH(C21,BSR_Table!$A$2:$A$14,1),12)+1))-LN(INDEX(BSR_Table!$B$2:$B$14,MIN(MATCH(C21,BSR_Table!$A$2:$A$14,1),12))))/(LN(INDEX(BSR_Table!$A$2:$A$14,MIN(MATCH(C21,BSR_Table!$A$2:$A$14,1),12)+1))-LN(INDEX(BSR_Table!$A$2:$A$14,MIN(MATCH(C21,BSR_Table!$A$2:$A$14,1),12)))))</f>
        <v>66.4720426418049</v>
      </c>
      <c r="G21" s="24" t="n">
        <f aca="false">F21*Sales_Estimates!$B$6*D21</f>
        <v>25904.1550175114</v>
      </c>
      <c r="H21" s="23" t="n">
        <f aca="false">G21/E21</f>
        <v>1.227976061508</v>
      </c>
      <c r="I21" s="6" t="s">
        <v>119</v>
      </c>
    </row>
    <row r="22" customFormat="false" ht="23.85" hidden="false" customHeight="false" outlineLevel="0" collapsed="false">
      <c r="A22" s="6" t="s">
        <v>46</v>
      </c>
      <c r="B22" s="3" t="s">
        <v>1515</v>
      </c>
      <c r="C22" s="12" t="n">
        <v>17169</v>
      </c>
      <c r="D22" s="28" t="n">
        <v>3.99</v>
      </c>
      <c r="E22" s="36" t="n">
        <v>1005</v>
      </c>
      <c r="F22" s="10" t="n">
        <f aca="false">EXP(LN(INDEX(BSR_Table!$B$2:$B$14,MIN(MATCH(C22,BSR_Table!$A$2:$A$14,1),12)))+(LN(C22)-LN(INDEX(BSR_Table!$A$2:$A$14,MIN(MATCH(C22,BSR_Table!$A$2:$A$14,1),12))))*(LN(INDEX(BSR_Table!$B$2:$B$14,MIN(MATCH(C22,BSR_Table!$A$2:$A$14,1),12)+1))-LN(INDEX(BSR_Table!$B$2:$B$14,MIN(MATCH(C22,BSR_Table!$A$2:$A$14,1),12))))/(LN(INDEX(BSR_Table!$A$2:$A$14,MIN(MATCH(C22,BSR_Table!$A$2:$A$14,1),12)+1))-LN(INDEX(BSR_Table!$A$2:$A$14,MIN(MATCH(C22,BSR_Table!$A$2:$A$14,1),12)))))</f>
        <v>11.6489020909779</v>
      </c>
      <c r="G22" s="24" t="n">
        <f aca="false">F22*Sales_Estimates!$B$6*D22</f>
        <v>1394.37358029006</v>
      </c>
      <c r="H22" s="23" t="n">
        <f aca="false">G22/E22</f>
        <v>1.38743639829856</v>
      </c>
      <c r="I22" s="6" t="s">
        <v>127</v>
      </c>
    </row>
    <row r="23" customFormat="false" ht="35.05" hidden="false" customHeight="false" outlineLevel="0" collapsed="false">
      <c r="A23" s="6" t="s">
        <v>46</v>
      </c>
      <c r="B23" s="3" t="s">
        <v>1516</v>
      </c>
      <c r="C23" s="12" t="n">
        <v>18715</v>
      </c>
      <c r="D23" s="28" t="n">
        <v>3.99</v>
      </c>
      <c r="E23" s="36" t="n">
        <v>893</v>
      </c>
      <c r="F23" s="10" t="n">
        <f aca="false">EXP(LN(INDEX(BSR_Table!$B$2:$B$14,MIN(MATCH(C23,BSR_Table!$A$2:$A$14,1),12)))+(LN(C23)-LN(INDEX(BSR_Table!$A$2:$A$14,MIN(MATCH(C23,BSR_Table!$A$2:$A$14,1),12))))*(LN(INDEX(BSR_Table!$B$2:$B$14,MIN(MATCH(C23,BSR_Table!$A$2:$A$14,1),12)+1))-LN(INDEX(BSR_Table!$B$2:$B$14,MIN(MATCH(C23,BSR_Table!$A$2:$A$14,1),12))))/(LN(INDEX(BSR_Table!$A$2:$A$14,MIN(MATCH(C23,BSR_Table!$A$2:$A$14,1),12)+1))-LN(INDEX(BSR_Table!$A$2:$A$14,MIN(MATCH(C23,BSR_Table!$A$2:$A$14,1),12)))))</f>
        <v>10.6866150146941</v>
      </c>
      <c r="G23" s="24" t="n">
        <f aca="false">F23*Sales_Estimates!$B$6*D23</f>
        <v>1279.18781725888</v>
      </c>
      <c r="H23" s="23" t="n">
        <f aca="false">G23/E23</f>
        <v>1.4324611615441</v>
      </c>
      <c r="I23" s="6" t="s">
        <v>119</v>
      </c>
    </row>
    <row r="24" customFormat="false" ht="15" hidden="false" customHeight="false" outlineLevel="0" collapsed="false">
      <c r="A24" s="6" t="s">
        <v>46</v>
      </c>
      <c r="B24" s="3" t="s">
        <v>1517</v>
      </c>
      <c r="C24" s="12" t="n">
        <v>19556</v>
      </c>
      <c r="D24" s="28" t="n">
        <v>27.55</v>
      </c>
      <c r="E24" s="36" t="n">
        <v>6171</v>
      </c>
      <c r="F24" s="10" t="n">
        <f aca="false">EXP(LN(INDEX(BSR_Table!$B$2:$B$14,MIN(MATCH(C24,BSR_Table!$A$2:$A$14,1),12)))+(LN(C24)-LN(INDEX(BSR_Table!$A$2:$A$14,MIN(MATCH(C24,BSR_Table!$A$2:$A$14,1),12))))*(LN(INDEX(BSR_Table!$B$2:$B$14,MIN(MATCH(C24,BSR_Table!$A$2:$A$14,1),12)+1))-LN(INDEX(BSR_Table!$B$2:$B$14,MIN(MATCH(C24,BSR_Table!$A$2:$A$14,1),12))))/(LN(INDEX(BSR_Table!$A$2:$A$14,MIN(MATCH(C24,BSR_Table!$A$2:$A$14,1),12)+1))-LN(INDEX(BSR_Table!$A$2:$A$14,MIN(MATCH(C24,BSR_Table!$A$2:$A$14,1),12)))))</f>
        <v>10.2270402945387</v>
      </c>
      <c r="G24" s="24" t="n">
        <f aca="false">F24*Sales_Estimates!$B$6*D24</f>
        <v>8452.64880343628</v>
      </c>
      <c r="H24" s="23" t="n">
        <f aca="false">G24/E24</f>
        <v>1.36973728786846</v>
      </c>
      <c r="I24" s="6" t="s">
        <v>119</v>
      </c>
    </row>
    <row r="25" customFormat="false" ht="35.05" hidden="false" customHeight="false" outlineLevel="0" collapsed="false">
      <c r="A25" s="6" t="s">
        <v>46</v>
      </c>
      <c r="B25" s="3" t="s">
        <v>1518</v>
      </c>
      <c r="C25" s="12" t="n">
        <v>20748</v>
      </c>
      <c r="D25" s="28" t="n">
        <v>3.99</v>
      </c>
      <c r="E25" s="36" t="n">
        <v>782</v>
      </c>
      <c r="F25" s="10" t="n">
        <f aca="false">EXP(LN(INDEX(BSR_Table!$B$2:$B$14,MIN(MATCH(C25,BSR_Table!$A$2:$A$14,1),12)))+(LN(C25)-LN(INDEX(BSR_Table!$A$2:$A$14,MIN(MATCH(C25,BSR_Table!$A$2:$A$14,1),12))))*(LN(INDEX(BSR_Table!$B$2:$B$14,MIN(MATCH(C25,BSR_Table!$A$2:$A$14,1),12)+1))-LN(INDEX(BSR_Table!$B$2:$B$14,MIN(MATCH(C25,BSR_Table!$A$2:$A$14,1),12))))/(LN(INDEX(BSR_Table!$A$2:$A$14,MIN(MATCH(C25,BSR_Table!$A$2:$A$14,1),12)+1))-LN(INDEX(BSR_Table!$A$2:$A$14,MIN(MATCH(C25,BSR_Table!$A$2:$A$14,1),12)))))</f>
        <v>9.63948332369384</v>
      </c>
      <c r="G25" s="24" t="n">
        <f aca="false">F25*Sales_Estimates!$B$6*D25</f>
        <v>1153.84615384615</v>
      </c>
      <c r="H25" s="23" t="n">
        <f aca="false">G25/E25</f>
        <v>1.4755065905961</v>
      </c>
      <c r="I25" s="6" t="s">
        <v>127</v>
      </c>
    </row>
    <row r="26" customFormat="false" ht="23.85" hidden="false" customHeight="false" outlineLevel="0" collapsed="false">
      <c r="A26" s="6" t="s">
        <v>46</v>
      </c>
      <c r="B26" s="3" t="s">
        <v>1519</v>
      </c>
      <c r="C26" s="12" t="n">
        <v>22831</v>
      </c>
      <c r="D26" s="28" t="n">
        <v>10.99</v>
      </c>
      <c r="E26" s="36" t="n">
        <v>2154</v>
      </c>
      <c r="F26" s="10" t="n">
        <f aca="false">EXP(LN(INDEX(BSR_Table!$B$2:$B$14,MIN(MATCH(C26,BSR_Table!$A$2:$A$14,1),12)))+(LN(C26)-LN(INDEX(BSR_Table!$A$2:$A$14,MIN(MATCH(C26,BSR_Table!$A$2:$A$14,1),12))))*(LN(INDEX(BSR_Table!$B$2:$B$14,MIN(MATCH(C26,BSR_Table!$A$2:$A$14,1),12)+1))-LN(INDEX(BSR_Table!$B$2:$B$14,MIN(MATCH(C26,BSR_Table!$A$2:$A$14,1),12))))/(LN(INDEX(BSR_Table!$A$2:$A$14,MIN(MATCH(C26,BSR_Table!$A$2:$A$14,1),12)+1))-LN(INDEX(BSR_Table!$A$2:$A$14,MIN(MATCH(C26,BSR_Table!$A$2:$A$14,1),12)))))</f>
        <v>8.7600192720424</v>
      </c>
      <c r="G26" s="24" t="n">
        <f aca="false">F26*Sales_Estimates!$B$6*D26</f>
        <v>2888.17835399238</v>
      </c>
      <c r="H26" s="23" t="n">
        <f aca="false">G26/E26</f>
        <v>1.34084417548393</v>
      </c>
      <c r="I26" s="6" t="s">
        <v>119</v>
      </c>
    </row>
    <row r="27" customFormat="false" ht="23.85" hidden="false" customHeight="false" outlineLevel="0" collapsed="false">
      <c r="A27" s="6" t="s">
        <v>46</v>
      </c>
      <c r="B27" s="3" t="s">
        <v>249</v>
      </c>
      <c r="C27" s="12" t="n">
        <v>22848</v>
      </c>
      <c r="D27" s="28" t="n">
        <v>13.99</v>
      </c>
      <c r="E27" s="36" t="n">
        <v>2742</v>
      </c>
      <c r="F27" s="10" t="n">
        <f aca="false">EXP(LN(INDEX(BSR_Table!$B$2:$B$14,MIN(MATCH(C27,BSR_Table!$A$2:$A$14,1),12)))+(LN(C27)-LN(INDEX(BSR_Table!$A$2:$A$14,MIN(MATCH(C27,BSR_Table!$A$2:$A$14,1),12))))*(LN(INDEX(BSR_Table!$B$2:$B$14,MIN(MATCH(C27,BSR_Table!$A$2:$A$14,1),12)+1))-LN(INDEX(BSR_Table!$B$2:$B$14,MIN(MATCH(C27,BSR_Table!$A$2:$A$14,1),12))))/(LN(INDEX(BSR_Table!$A$2:$A$14,MIN(MATCH(C27,BSR_Table!$A$2:$A$14,1),12)+1))-LN(INDEX(BSR_Table!$A$2:$A$14,MIN(MATCH(C27,BSR_Table!$A$2:$A$14,1),12)))))</f>
        <v>8.75350140056023</v>
      </c>
      <c r="G27" s="24" t="n">
        <f aca="false">F27*Sales_Estimates!$B$6*D27</f>
        <v>3673.84453781513</v>
      </c>
      <c r="H27" s="23" t="n">
        <f aca="false">G27/E27</f>
        <v>1.33984118811638</v>
      </c>
      <c r="I27" s="6" t="s">
        <v>119</v>
      </c>
    </row>
    <row r="28" customFormat="false" ht="23.85" hidden="false" customHeight="false" outlineLevel="0" collapsed="false">
      <c r="A28" s="6" t="s">
        <v>46</v>
      </c>
      <c r="B28" s="3" t="s">
        <v>1520</v>
      </c>
      <c r="C28" s="12" t="n">
        <v>31788</v>
      </c>
      <c r="D28" s="28" t="n">
        <v>0.99</v>
      </c>
      <c r="E28" s="36" t="n">
        <v>138</v>
      </c>
      <c r="F28" s="10" t="n">
        <f aca="false">EXP(LN(INDEX(BSR_Table!$B$2:$B$14,MIN(MATCH(C28,BSR_Table!$A$2:$A$14,1),12)))+(LN(C28)-LN(INDEX(BSR_Table!$A$2:$A$14,MIN(MATCH(C28,BSR_Table!$A$2:$A$14,1),12))))*(LN(INDEX(BSR_Table!$B$2:$B$14,MIN(MATCH(C28,BSR_Table!$A$2:$A$14,1),12)+1))-LN(INDEX(BSR_Table!$B$2:$B$14,MIN(MATCH(C28,BSR_Table!$A$2:$A$14,1),12))))/(LN(INDEX(BSR_Table!$A$2:$A$14,MIN(MATCH(C28,BSR_Table!$A$2:$A$14,1),12)+1))-LN(INDEX(BSR_Table!$A$2:$A$14,MIN(MATCH(C28,BSR_Table!$A$2:$A$14,1),12)))))</f>
        <v>6.29168239587265</v>
      </c>
      <c r="G28" s="24" t="n">
        <f aca="false">F28*Sales_Estimates!$B$6*D28</f>
        <v>186.862967157418</v>
      </c>
      <c r="H28" s="23" t="n">
        <f aca="false">G28/E28</f>
        <v>1.3540794721552</v>
      </c>
      <c r="I28" s="6" t="s">
        <v>119</v>
      </c>
    </row>
    <row r="29" customFormat="false" ht="23.85" hidden="false" customHeight="false" outlineLevel="0" collapsed="false">
      <c r="A29" s="6" t="s">
        <v>46</v>
      </c>
      <c r="B29" s="3" t="s">
        <v>1521</v>
      </c>
      <c r="C29" s="12" t="n">
        <v>32822</v>
      </c>
      <c r="D29" s="28" t="n">
        <v>14.99</v>
      </c>
      <c r="E29" s="36" t="n">
        <v>2098</v>
      </c>
      <c r="F29" s="10" t="n">
        <f aca="false">EXP(LN(INDEX(BSR_Table!$B$2:$B$14,MIN(MATCH(C29,BSR_Table!$A$2:$A$14,1),12)))+(LN(C29)-LN(INDEX(BSR_Table!$A$2:$A$14,MIN(MATCH(C29,BSR_Table!$A$2:$A$14,1),12))))*(LN(INDEX(BSR_Table!$B$2:$B$14,MIN(MATCH(C29,BSR_Table!$A$2:$A$14,1),12)+1))-LN(INDEX(BSR_Table!$B$2:$B$14,MIN(MATCH(C29,BSR_Table!$A$2:$A$14,1),12))))/(LN(INDEX(BSR_Table!$A$2:$A$14,MIN(MATCH(C29,BSR_Table!$A$2:$A$14,1),12)+1))-LN(INDEX(BSR_Table!$A$2:$A$14,MIN(MATCH(C29,BSR_Table!$A$2:$A$14,1),12)))))</f>
        <v>6.09347388946438</v>
      </c>
      <c r="G29" s="24" t="n">
        <f aca="false">F29*Sales_Estimates!$B$6*D29</f>
        <v>2740.23520809213</v>
      </c>
      <c r="H29" s="23" t="n">
        <f aca="false">G29/E29</f>
        <v>1.3061178303585</v>
      </c>
      <c r="I29" s="6" t="s">
        <v>119</v>
      </c>
    </row>
    <row r="30" customFormat="false" ht="46.25" hidden="false" customHeight="false" outlineLevel="0" collapsed="false">
      <c r="A30" s="6" t="s">
        <v>46</v>
      </c>
      <c r="B30" s="3" t="s">
        <v>1522</v>
      </c>
      <c r="C30" s="12" t="n">
        <v>32958</v>
      </c>
      <c r="D30" s="28" t="n">
        <v>0.99</v>
      </c>
      <c r="E30" s="36" t="n">
        <v>138</v>
      </c>
      <c r="F30" s="10" t="n">
        <f aca="false">EXP(LN(INDEX(BSR_Table!$B$2:$B$14,MIN(MATCH(C30,BSR_Table!$A$2:$A$14,1),12)))+(LN(C30)-LN(INDEX(BSR_Table!$A$2:$A$14,MIN(MATCH(C30,BSR_Table!$A$2:$A$14,1),12))))*(LN(INDEX(BSR_Table!$B$2:$B$14,MIN(MATCH(C30,BSR_Table!$A$2:$A$14,1),12)+1))-LN(INDEX(BSR_Table!$B$2:$B$14,MIN(MATCH(C30,BSR_Table!$A$2:$A$14,1),12))))/(LN(INDEX(BSR_Table!$A$2:$A$14,MIN(MATCH(C30,BSR_Table!$A$2:$A$14,1),12)+1))-LN(INDEX(BSR_Table!$A$2:$A$14,MIN(MATCH(C30,BSR_Table!$A$2:$A$14,1),12)))))</f>
        <v>6.06832938891923</v>
      </c>
      <c r="G30" s="24" t="n">
        <f aca="false">F30*Sales_Estimates!$B$6*D30</f>
        <v>180.229382850901</v>
      </c>
      <c r="H30" s="23" t="n">
        <f aca="false">G30/E30</f>
        <v>1.3060100206587</v>
      </c>
      <c r="I30" s="6" t="s">
        <v>127</v>
      </c>
    </row>
    <row r="31" customFormat="false" ht="15" hidden="false" customHeight="false" outlineLevel="0" collapsed="false">
      <c r="A31" s="6" t="s">
        <v>46</v>
      </c>
      <c r="B31" s="3" t="s">
        <v>1523</v>
      </c>
      <c r="C31" s="12" t="n">
        <v>36226</v>
      </c>
      <c r="D31" s="28" t="n">
        <v>9.99</v>
      </c>
      <c r="E31" s="36" t="n">
        <v>1118</v>
      </c>
      <c r="F31" s="10" t="n">
        <f aca="false">EXP(LN(INDEX(BSR_Table!$B$2:$B$14,MIN(MATCH(C31,BSR_Table!$A$2:$A$14,1),12)))+(LN(C31)-LN(INDEX(BSR_Table!$A$2:$A$14,MIN(MATCH(C31,BSR_Table!$A$2:$A$14,1),12))))*(LN(INDEX(BSR_Table!$B$2:$B$14,MIN(MATCH(C31,BSR_Table!$A$2:$A$14,1),12)+1))-LN(INDEX(BSR_Table!$B$2:$B$14,MIN(MATCH(C31,BSR_Table!$A$2:$A$14,1),12))))/(LN(INDEX(BSR_Table!$A$2:$A$14,MIN(MATCH(C31,BSR_Table!$A$2:$A$14,1),12)+1))-LN(INDEX(BSR_Table!$A$2:$A$14,MIN(MATCH(C31,BSR_Table!$A$2:$A$14,1),12)))))</f>
        <v>5.52089659360681</v>
      </c>
      <c r="G31" s="24" t="n">
        <f aca="false">F31*Sales_Estimates!$B$6*D31</f>
        <v>1654.61270910396</v>
      </c>
      <c r="H31" s="23" t="n">
        <f aca="false">G31/E31</f>
        <v>1.47997558953843</v>
      </c>
      <c r="I31" s="6" t="s">
        <v>119</v>
      </c>
    </row>
    <row r="32" customFormat="false" ht="35.05" hidden="false" customHeight="false" outlineLevel="0" collapsed="false">
      <c r="A32" s="6" t="s">
        <v>46</v>
      </c>
      <c r="B32" s="3" t="s">
        <v>1524</v>
      </c>
      <c r="C32" s="12" t="n">
        <v>38391</v>
      </c>
      <c r="D32" s="28" t="n">
        <v>4.99</v>
      </c>
      <c r="E32" s="36" t="n">
        <v>558</v>
      </c>
      <c r="F32" s="10" t="n">
        <f aca="false">EXP(LN(INDEX(BSR_Table!$B$2:$B$14,MIN(MATCH(C32,BSR_Table!$A$2:$A$14,1),12)))+(LN(C32)-LN(INDEX(BSR_Table!$A$2:$A$14,MIN(MATCH(C32,BSR_Table!$A$2:$A$14,1),12))))*(LN(INDEX(BSR_Table!$B$2:$B$14,MIN(MATCH(C32,BSR_Table!$A$2:$A$14,1),12)+1))-LN(INDEX(BSR_Table!$B$2:$B$14,MIN(MATCH(C32,BSR_Table!$A$2:$A$14,1),12))))/(LN(INDEX(BSR_Table!$A$2:$A$14,MIN(MATCH(C32,BSR_Table!$A$2:$A$14,1),12)+1))-LN(INDEX(BSR_Table!$A$2:$A$14,MIN(MATCH(C32,BSR_Table!$A$2:$A$14,1),12)))))</f>
        <v>5.2095543226277</v>
      </c>
      <c r="G32" s="24" t="n">
        <f aca="false">F32*Sales_Estimates!$B$6*D32</f>
        <v>779.870282097367</v>
      </c>
      <c r="H32" s="23" t="n">
        <f aca="false">G32/E32</f>
        <v>1.39761699300603</v>
      </c>
      <c r="I32" s="6" t="s">
        <v>119</v>
      </c>
    </row>
    <row r="33" customFormat="false" ht="46.25" hidden="false" customHeight="false" outlineLevel="0" collapsed="false">
      <c r="A33" s="6" t="s">
        <v>46</v>
      </c>
      <c r="B33" s="3" t="s">
        <v>1525</v>
      </c>
      <c r="C33" s="12" t="n">
        <v>39048</v>
      </c>
      <c r="D33" s="28" t="n">
        <v>11.99</v>
      </c>
      <c r="E33" s="36" t="n">
        <v>1342</v>
      </c>
      <c r="F33" s="10" t="n">
        <f aca="false">EXP(LN(INDEX(BSR_Table!$B$2:$B$14,MIN(MATCH(C33,BSR_Table!$A$2:$A$14,1),12)))+(LN(C33)-LN(INDEX(BSR_Table!$A$2:$A$14,MIN(MATCH(C33,BSR_Table!$A$2:$A$14,1),12))))*(LN(INDEX(BSR_Table!$B$2:$B$14,MIN(MATCH(C33,BSR_Table!$A$2:$A$14,1),12)+1))-LN(INDEX(BSR_Table!$B$2:$B$14,MIN(MATCH(C33,BSR_Table!$A$2:$A$14,1),12))))/(LN(INDEX(BSR_Table!$A$2:$A$14,MIN(MATCH(C33,BSR_Table!$A$2:$A$14,1),12)+1))-LN(INDEX(BSR_Table!$A$2:$A$14,MIN(MATCH(C33,BSR_Table!$A$2:$A$14,1),12)))))</f>
        <v>5.12190124974391</v>
      </c>
      <c r="G33" s="24" t="n">
        <f aca="false">F33*Sales_Estimates!$B$6*D33</f>
        <v>1842.34787953288</v>
      </c>
      <c r="H33" s="23" t="n">
        <f aca="false">G33/E33</f>
        <v>1.37283746611988</v>
      </c>
      <c r="I33" s="6" t="s">
        <v>127</v>
      </c>
    </row>
    <row r="34" customFormat="false" ht="15" hidden="false" customHeight="false" outlineLevel="0" collapsed="false">
      <c r="A34" s="6" t="s">
        <v>49</v>
      </c>
      <c r="B34" s="3" t="s">
        <v>1526</v>
      </c>
      <c r="C34" s="12" t="n">
        <v>2010</v>
      </c>
      <c r="D34" s="28" t="n">
        <v>13.99</v>
      </c>
      <c r="E34" s="36" t="n">
        <v>22328</v>
      </c>
      <c r="F34" s="10" t="n">
        <f aca="false">EXP(LN(INDEX(BSR_Table!$B$2:$B$14,MIN(MATCH(C34,BSR_Table!$A$2:$A$14,1),12)))+(LN(C34)-LN(INDEX(BSR_Table!$A$2:$A$14,MIN(MATCH(C34,BSR_Table!$A$2:$A$14,1),12))))*(LN(INDEX(BSR_Table!$B$2:$B$14,MIN(MATCH(C34,BSR_Table!$A$2:$A$14,1),12)+1))-LN(INDEX(BSR_Table!$B$2:$B$14,MIN(MATCH(C34,BSR_Table!$A$2:$A$14,1),12))))/(LN(INDEX(BSR_Table!$A$2:$A$14,MIN(MATCH(C34,BSR_Table!$A$2:$A$14,1),12)+1))-LN(INDEX(BSR_Table!$A$2:$A$14,MIN(MATCH(C34,BSR_Table!$A$2:$A$14,1),12)))))</f>
        <v>64.727014749323</v>
      </c>
      <c r="G34" s="24" t="n">
        <f aca="false">F34*Sales_Estimates!$B$6*D34</f>
        <v>27165.9280902908</v>
      </c>
      <c r="H34" s="23" t="n">
        <f aca="false">G34/E34</f>
        <v>1.21667538921045</v>
      </c>
      <c r="I34" s="6" t="s">
        <v>119</v>
      </c>
    </row>
    <row r="35" customFormat="false" ht="15" hidden="false" customHeight="false" outlineLevel="0" collapsed="false">
      <c r="A35" s="6" t="s">
        <v>49</v>
      </c>
      <c r="B35" s="3" t="s">
        <v>1527</v>
      </c>
      <c r="C35" s="12" t="n">
        <v>6567</v>
      </c>
      <c r="D35" s="28" t="n">
        <v>14.99</v>
      </c>
      <c r="E35" s="36" t="n">
        <v>5876</v>
      </c>
      <c r="F35" s="10" t="n">
        <f aca="false">EXP(LN(INDEX(BSR_Table!$B$2:$B$14,MIN(MATCH(C35,BSR_Table!$A$2:$A$14,1),12)))+(LN(C35)-LN(INDEX(BSR_Table!$A$2:$A$14,MIN(MATCH(C35,BSR_Table!$A$2:$A$14,1),12))))*(LN(INDEX(BSR_Table!$B$2:$B$14,MIN(MATCH(C35,BSR_Table!$A$2:$A$14,1),12)+1))-LN(INDEX(BSR_Table!$B$2:$B$14,MIN(MATCH(C35,BSR_Table!$A$2:$A$14,1),12))))/(LN(INDEX(BSR_Table!$A$2:$A$14,MIN(MATCH(C35,BSR_Table!$A$2:$A$14,1),12)+1))-LN(INDEX(BSR_Table!$A$2:$A$14,MIN(MATCH(C35,BSR_Table!$A$2:$A$14,1),12)))))</f>
        <v>25.5778150392706</v>
      </c>
      <c r="G35" s="24" t="n">
        <f aca="false">F35*Sales_Estimates!$B$6*D35</f>
        <v>11502.34342316</v>
      </c>
      <c r="H35" s="23" t="n">
        <f aca="false">G35/E35</f>
        <v>1.95751249543226</v>
      </c>
      <c r="I35" s="6" t="s">
        <v>119</v>
      </c>
    </row>
    <row r="36" customFormat="false" ht="35.05" hidden="false" customHeight="false" outlineLevel="0" collapsed="false">
      <c r="A36" s="6" t="s">
        <v>49</v>
      </c>
      <c r="B36" s="3" t="s">
        <v>345</v>
      </c>
      <c r="C36" s="12" t="n">
        <v>7575</v>
      </c>
      <c r="D36" s="28" t="n">
        <v>13.99</v>
      </c>
      <c r="E36" s="36" t="n">
        <v>5092</v>
      </c>
      <c r="F36" s="10" t="n">
        <f aca="false">EXP(LN(INDEX(BSR_Table!$B$2:$B$14,MIN(MATCH(C36,BSR_Table!$A$2:$A$14,1),12)))+(LN(C36)-LN(INDEX(BSR_Table!$A$2:$A$14,MIN(MATCH(C36,BSR_Table!$A$2:$A$14,1),12))))*(LN(INDEX(BSR_Table!$B$2:$B$14,MIN(MATCH(C36,BSR_Table!$A$2:$A$14,1),12)+1))-LN(INDEX(BSR_Table!$B$2:$B$14,MIN(MATCH(C36,BSR_Table!$A$2:$A$14,1),12))))/(LN(INDEX(BSR_Table!$A$2:$A$14,MIN(MATCH(C36,BSR_Table!$A$2:$A$14,1),12)+1))-LN(INDEX(BSR_Table!$A$2:$A$14,MIN(MATCH(C36,BSR_Table!$A$2:$A$14,1),12)))))</f>
        <v>23.5280876748429</v>
      </c>
      <c r="G36" s="24" t="n">
        <f aca="false">F36*Sales_Estimates!$B$6*D36</f>
        <v>9874.73839713156</v>
      </c>
      <c r="H36" s="23" t="n">
        <f aca="false">G36/E36</f>
        <v>1.93926519975089</v>
      </c>
      <c r="I36" s="6" t="s">
        <v>119</v>
      </c>
    </row>
    <row r="37" customFormat="false" ht="23.85" hidden="false" customHeight="false" outlineLevel="0" collapsed="false">
      <c r="A37" s="6" t="s">
        <v>49</v>
      </c>
      <c r="B37" s="3" t="s">
        <v>554</v>
      </c>
      <c r="C37" s="12" t="n">
        <v>8471</v>
      </c>
      <c r="D37" s="28" t="n">
        <v>1.99</v>
      </c>
      <c r="E37" s="36" t="n">
        <v>724</v>
      </c>
      <c r="F37" s="10" t="n">
        <f aca="false">EXP(LN(INDEX(BSR_Table!$B$2:$B$14,MIN(MATCH(C37,BSR_Table!$A$2:$A$14,1),12)))+(LN(C37)-LN(INDEX(BSR_Table!$A$2:$A$14,MIN(MATCH(C37,BSR_Table!$A$2:$A$14,1),12))))*(LN(INDEX(BSR_Table!$B$2:$B$14,MIN(MATCH(C37,BSR_Table!$A$2:$A$14,1),12)+1))-LN(INDEX(BSR_Table!$B$2:$B$14,MIN(MATCH(C37,BSR_Table!$A$2:$A$14,1),12))))/(LN(INDEX(BSR_Table!$A$2:$A$14,MIN(MATCH(C37,BSR_Table!$A$2:$A$14,1),12)+1))-LN(INDEX(BSR_Table!$A$2:$A$14,MIN(MATCH(C37,BSR_Table!$A$2:$A$14,1),12)))))</f>
        <v>22.038676215593</v>
      </c>
      <c r="G37" s="24" t="n">
        <f aca="false">F37*Sales_Estimates!$B$6*D37</f>
        <v>1315.7089700709</v>
      </c>
      <c r="H37" s="23" t="n">
        <f aca="false">G37/E37</f>
        <v>1.81727758297086</v>
      </c>
      <c r="I37" s="6" t="s">
        <v>119</v>
      </c>
    </row>
    <row r="38" customFormat="false" ht="35.05" hidden="false" customHeight="false" outlineLevel="0" collapsed="false">
      <c r="A38" s="6" t="s">
        <v>49</v>
      </c>
      <c r="B38" s="3" t="s">
        <v>393</v>
      </c>
      <c r="C38" s="12" t="n">
        <v>11293</v>
      </c>
      <c r="D38" s="28" t="n">
        <v>3.99</v>
      </c>
      <c r="E38" s="36" t="n">
        <v>1228</v>
      </c>
      <c r="F38" s="10" t="n">
        <f aca="false">EXP(LN(INDEX(BSR_Table!$B$2:$B$14,MIN(MATCH(C38,BSR_Table!$A$2:$A$14,1),12)))+(LN(C38)-LN(INDEX(BSR_Table!$A$2:$A$14,MIN(MATCH(C38,BSR_Table!$A$2:$A$14,1),12))))*(LN(INDEX(BSR_Table!$B$2:$B$14,MIN(MATCH(C38,BSR_Table!$A$2:$A$14,1),12)+1))-LN(INDEX(BSR_Table!$B$2:$B$14,MIN(MATCH(C38,BSR_Table!$A$2:$A$14,1),12))))/(LN(INDEX(BSR_Table!$A$2:$A$14,MIN(MATCH(C38,BSR_Table!$A$2:$A$14,1),12)+1))-LN(INDEX(BSR_Table!$A$2:$A$14,MIN(MATCH(C38,BSR_Table!$A$2:$A$14,1),12)))))</f>
        <v>17.7100858939166</v>
      </c>
      <c r="G38" s="24" t="n">
        <f aca="false">F38*Sales_Estimates!$B$6*D38</f>
        <v>2119.89728150181</v>
      </c>
      <c r="H38" s="23" t="n">
        <f aca="false">G38/E38</f>
        <v>1.72630071783535</v>
      </c>
      <c r="I38" s="6" t="s">
        <v>119</v>
      </c>
    </row>
    <row r="39" customFormat="false" ht="15" hidden="false" customHeight="false" outlineLevel="0" collapsed="false">
      <c r="A39" s="6" t="s">
        <v>49</v>
      </c>
      <c r="B39" s="3" t="s">
        <v>1528</v>
      </c>
      <c r="C39" s="12" t="n">
        <v>11609</v>
      </c>
      <c r="D39" s="28" t="n">
        <v>14.99</v>
      </c>
      <c r="E39" s="36" t="n">
        <v>4616</v>
      </c>
      <c r="F39" s="10" t="n">
        <f aca="false">EXP(LN(INDEX(BSR_Table!$B$2:$B$14,MIN(MATCH(C39,BSR_Table!$A$2:$A$14,1),12)))+(LN(C39)-LN(INDEX(BSR_Table!$A$2:$A$14,MIN(MATCH(C39,BSR_Table!$A$2:$A$14,1),12))))*(LN(INDEX(BSR_Table!$B$2:$B$14,MIN(MATCH(C39,BSR_Table!$A$2:$A$14,1),12)+1))-LN(INDEX(BSR_Table!$B$2:$B$14,MIN(MATCH(C39,BSR_Table!$A$2:$A$14,1),12))))/(LN(INDEX(BSR_Table!$A$2:$A$14,MIN(MATCH(C39,BSR_Table!$A$2:$A$14,1),12)+1))-LN(INDEX(BSR_Table!$A$2:$A$14,MIN(MATCH(C39,BSR_Table!$A$2:$A$14,1),12)))))</f>
        <v>17.2280127487294</v>
      </c>
      <c r="G39" s="24" t="n">
        <f aca="false">F39*Sales_Estimates!$B$6*D39</f>
        <v>7747.43733310363</v>
      </c>
      <c r="H39" s="23" t="n">
        <f aca="false">G39/E39</f>
        <v>1.67838763715417</v>
      </c>
      <c r="I39" s="6" t="s">
        <v>119</v>
      </c>
    </row>
    <row r="40" customFormat="false" ht="23.85" hidden="false" customHeight="false" outlineLevel="0" collapsed="false">
      <c r="A40" s="6" t="s">
        <v>49</v>
      </c>
      <c r="B40" s="3" t="s">
        <v>1529</v>
      </c>
      <c r="C40" s="12" t="n">
        <v>12153</v>
      </c>
      <c r="D40" s="28" t="n">
        <v>12.99</v>
      </c>
      <c r="E40" s="36" t="n">
        <v>4000</v>
      </c>
      <c r="F40" s="10" t="n">
        <f aca="false">EXP(LN(INDEX(BSR_Table!$B$2:$B$14,MIN(MATCH(C40,BSR_Table!$A$2:$A$14,1),12)))+(LN(C40)-LN(INDEX(BSR_Table!$A$2:$A$14,MIN(MATCH(C40,BSR_Table!$A$2:$A$14,1),12))))*(LN(INDEX(BSR_Table!$B$2:$B$14,MIN(MATCH(C40,BSR_Table!$A$2:$A$14,1),12)+1))-LN(INDEX(BSR_Table!$B$2:$B$14,MIN(MATCH(C40,BSR_Table!$A$2:$A$14,1),12))))/(LN(INDEX(BSR_Table!$A$2:$A$14,MIN(MATCH(C40,BSR_Table!$A$2:$A$14,1),12)+1))-LN(INDEX(BSR_Table!$A$2:$A$14,MIN(MATCH(C40,BSR_Table!$A$2:$A$14,1),12)))))</f>
        <v>16.4568419320333</v>
      </c>
      <c r="G40" s="24" t="n">
        <f aca="false">F40*Sales_Estimates!$B$6*D40</f>
        <v>6413.23130091336</v>
      </c>
      <c r="H40" s="23" t="n">
        <f aca="false">G40/E40</f>
        <v>1.60330782522834</v>
      </c>
      <c r="I40" s="6" t="s">
        <v>119</v>
      </c>
    </row>
    <row r="41" customFormat="false" ht="23.85" hidden="false" customHeight="false" outlineLevel="0" collapsed="false">
      <c r="A41" s="6" t="s">
        <v>49</v>
      </c>
      <c r="B41" s="3" t="s">
        <v>1530</v>
      </c>
      <c r="C41" s="12" t="n">
        <v>12305</v>
      </c>
      <c r="D41" s="28" t="n">
        <v>10.99</v>
      </c>
      <c r="E41" s="36" t="n">
        <v>3077</v>
      </c>
      <c r="F41" s="10" t="n">
        <f aca="false">EXP(LN(INDEX(BSR_Table!$B$2:$B$14,MIN(MATCH(C41,BSR_Table!$A$2:$A$14,1),12)))+(LN(C41)-LN(INDEX(BSR_Table!$A$2:$A$14,MIN(MATCH(C41,BSR_Table!$A$2:$A$14,1),12))))*(LN(INDEX(BSR_Table!$B$2:$B$14,MIN(MATCH(C41,BSR_Table!$A$2:$A$14,1),12)+1))-LN(INDEX(BSR_Table!$B$2:$B$14,MIN(MATCH(C41,BSR_Table!$A$2:$A$14,1),12))))/(LN(INDEX(BSR_Table!$A$2:$A$14,MIN(MATCH(C41,BSR_Table!$A$2:$A$14,1),12)+1))-LN(INDEX(BSR_Table!$A$2:$A$14,MIN(MATCH(C41,BSR_Table!$A$2:$A$14,1),12)))))</f>
        <v>16.253555465258</v>
      </c>
      <c r="G41" s="24" t="n">
        <f aca="false">F41*Sales_Estimates!$B$6*D41</f>
        <v>5358.79723689557</v>
      </c>
      <c r="H41" s="23" t="n">
        <f aca="false">G41/E41</f>
        <v>1.74156556285199</v>
      </c>
      <c r="I41" s="6" t="s">
        <v>119</v>
      </c>
    </row>
    <row r="42" customFormat="false" ht="15" hidden="false" customHeight="false" outlineLevel="0" collapsed="false">
      <c r="A42" s="6" t="s">
        <v>49</v>
      </c>
      <c r="B42" s="3" t="s">
        <v>1531</v>
      </c>
      <c r="C42" s="12" t="n">
        <v>13562</v>
      </c>
      <c r="D42" s="28" t="n">
        <v>13.99</v>
      </c>
      <c r="E42" s="36" t="n">
        <v>3917</v>
      </c>
      <c r="F42" s="10" t="n">
        <f aca="false">EXP(LN(INDEX(BSR_Table!$B$2:$B$14,MIN(MATCH(C42,BSR_Table!$A$2:$A$14,1),12)))+(LN(C42)-LN(INDEX(BSR_Table!$A$2:$A$14,MIN(MATCH(C42,BSR_Table!$A$2:$A$14,1),12))))*(LN(INDEX(BSR_Table!$B$2:$B$14,MIN(MATCH(C42,BSR_Table!$A$2:$A$14,1),12)+1))-LN(INDEX(BSR_Table!$B$2:$B$14,MIN(MATCH(C42,BSR_Table!$A$2:$A$14,1),12))))/(LN(INDEX(BSR_Table!$A$2:$A$14,MIN(MATCH(C42,BSR_Table!$A$2:$A$14,1),12)+1))-LN(INDEX(BSR_Table!$A$2:$A$14,MIN(MATCH(C42,BSR_Table!$A$2:$A$14,1),12)))))</f>
        <v>14.7470874502286</v>
      </c>
      <c r="G42" s="24" t="n">
        <f aca="false">F42*Sales_Estimates!$B$6*D42</f>
        <v>6189.35260286094</v>
      </c>
      <c r="H42" s="23" t="n">
        <f aca="false">G42/E42</f>
        <v>1.58012576024022</v>
      </c>
      <c r="I42" s="6" t="s">
        <v>119</v>
      </c>
    </row>
    <row r="43" customFormat="false" ht="35.05" hidden="false" customHeight="false" outlineLevel="0" collapsed="false">
      <c r="A43" s="6" t="s">
        <v>49</v>
      </c>
      <c r="B43" s="3" t="s">
        <v>1532</v>
      </c>
      <c r="C43" s="12" t="n">
        <v>14259</v>
      </c>
      <c r="D43" s="28" t="n">
        <v>3.99</v>
      </c>
      <c r="E43" s="36" t="n">
        <v>1117</v>
      </c>
      <c r="F43" s="10" t="n">
        <f aca="false">EXP(LN(INDEX(BSR_Table!$B$2:$B$14,MIN(MATCH(C43,BSR_Table!$A$2:$A$14,1),12)))+(LN(C43)-LN(INDEX(BSR_Table!$A$2:$A$14,MIN(MATCH(C43,BSR_Table!$A$2:$A$14,1),12))))*(LN(INDEX(BSR_Table!$B$2:$B$14,MIN(MATCH(C43,BSR_Table!$A$2:$A$14,1),12)+1))-LN(INDEX(BSR_Table!$B$2:$B$14,MIN(MATCH(C43,BSR_Table!$A$2:$A$14,1),12))))/(LN(INDEX(BSR_Table!$A$2:$A$14,MIN(MATCH(C43,BSR_Table!$A$2:$A$14,1),12)+1))-LN(INDEX(BSR_Table!$A$2:$A$14,MIN(MATCH(C43,BSR_Table!$A$2:$A$14,1),12)))))</f>
        <v>14.0262290483204</v>
      </c>
      <c r="G43" s="24" t="n">
        <f aca="false">F43*Sales_Estimates!$B$6*D43</f>
        <v>1678.93961708395</v>
      </c>
      <c r="H43" s="23" t="n">
        <f aca="false">G43/E43</f>
        <v>1.50307933490058</v>
      </c>
      <c r="I43" s="6" t="s">
        <v>119</v>
      </c>
    </row>
    <row r="44" customFormat="false" ht="15" hidden="false" customHeight="false" outlineLevel="0" collapsed="false">
      <c r="A44" s="6" t="s">
        <v>49</v>
      </c>
      <c r="B44" s="3" t="s">
        <v>1533</v>
      </c>
      <c r="C44" s="12" t="n">
        <v>14828</v>
      </c>
      <c r="D44" s="28" t="n">
        <v>14.99</v>
      </c>
      <c r="E44" s="36" t="n">
        <v>3777</v>
      </c>
      <c r="F44" s="10" t="n">
        <f aca="false">EXP(LN(INDEX(BSR_Table!$B$2:$B$14,MIN(MATCH(C44,BSR_Table!$A$2:$A$14,1),12)))+(LN(C44)-LN(INDEX(BSR_Table!$A$2:$A$14,MIN(MATCH(C44,BSR_Table!$A$2:$A$14,1),12))))*(LN(INDEX(BSR_Table!$B$2:$B$14,MIN(MATCH(C44,BSR_Table!$A$2:$A$14,1),12)+1))-LN(INDEX(BSR_Table!$B$2:$B$14,MIN(MATCH(C44,BSR_Table!$A$2:$A$14,1),12))))/(LN(INDEX(BSR_Table!$A$2:$A$14,MIN(MATCH(C44,BSR_Table!$A$2:$A$14,1),12)+1))-LN(INDEX(BSR_Table!$A$2:$A$14,MIN(MATCH(C44,BSR_Table!$A$2:$A$14,1),12)))))</f>
        <v>13.4879956838414</v>
      </c>
      <c r="G44" s="24" t="n">
        <f aca="false">F44*Sales_Estimates!$B$6*D44</f>
        <v>6065.55165902347</v>
      </c>
      <c r="H44" s="23" t="n">
        <f aca="false">G44/E44</f>
        <v>1.60591783400145</v>
      </c>
      <c r="I44" s="6" t="s">
        <v>119</v>
      </c>
    </row>
    <row r="45" customFormat="false" ht="35.05" hidden="false" customHeight="false" outlineLevel="0" collapsed="false">
      <c r="A45" s="6" t="s">
        <v>49</v>
      </c>
      <c r="B45" s="3" t="s">
        <v>1534</v>
      </c>
      <c r="C45" s="12" t="n">
        <v>17728</v>
      </c>
      <c r="D45" s="28" t="n">
        <v>7.77</v>
      </c>
      <c r="E45" s="36" t="n">
        <v>1740</v>
      </c>
      <c r="F45" s="10" t="n">
        <f aca="false">EXP(LN(INDEX(BSR_Table!$B$2:$B$14,MIN(MATCH(C45,BSR_Table!$A$2:$A$14,1),12)))+(LN(C45)-LN(INDEX(BSR_Table!$A$2:$A$14,MIN(MATCH(C45,BSR_Table!$A$2:$A$14,1),12))))*(LN(INDEX(BSR_Table!$B$2:$B$14,MIN(MATCH(C45,BSR_Table!$A$2:$A$14,1),12)+1))-LN(INDEX(BSR_Table!$B$2:$B$14,MIN(MATCH(C45,BSR_Table!$A$2:$A$14,1),12))))/(LN(INDEX(BSR_Table!$A$2:$A$14,MIN(MATCH(C45,BSR_Table!$A$2:$A$14,1),12)+1))-LN(INDEX(BSR_Table!$A$2:$A$14,MIN(MATCH(C45,BSR_Table!$A$2:$A$14,1),12)))))</f>
        <v>11.2815884476534</v>
      </c>
      <c r="G45" s="24" t="n">
        <f aca="false">F45*Sales_Estimates!$B$6*D45</f>
        <v>2629.73826714801</v>
      </c>
      <c r="H45" s="23" t="n">
        <f aca="false">G45/E45</f>
        <v>1.51134383169426</v>
      </c>
      <c r="I45" s="6" t="s">
        <v>127</v>
      </c>
    </row>
    <row r="46" customFormat="false" ht="35.05" hidden="false" customHeight="false" outlineLevel="0" collapsed="false">
      <c r="A46" s="6" t="s">
        <v>49</v>
      </c>
      <c r="B46" s="3" t="s">
        <v>1516</v>
      </c>
      <c r="C46" s="12" t="n">
        <v>18715</v>
      </c>
      <c r="D46" s="28" t="n">
        <v>3.99</v>
      </c>
      <c r="E46" s="36" t="n">
        <v>893</v>
      </c>
      <c r="F46" s="10" t="n">
        <f aca="false">EXP(LN(INDEX(BSR_Table!$B$2:$B$14,MIN(MATCH(C46,BSR_Table!$A$2:$A$14,1),12)))+(LN(C46)-LN(INDEX(BSR_Table!$A$2:$A$14,MIN(MATCH(C46,BSR_Table!$A$2:$A$14,1),12))))*(LN(INDEX(BSR_Table!$B$2:$B$14,MIN(MATCH(C46,BSR_Table!$A$2:$A$14,1),12)+1))-LN(INDEX(BSR_Table!$B$2:$B$14,MIN(MATCH(C46,BSR_Table!$A$2:$A$14,1),12))))/(LN(INDEX(BSR_Table!$A$2:$A$14,MIN(MATCH(C46,BSR_Table!$A$2:$A$14,1),12)+1))-LN(INDEX(BSR_Table!$A$2:$A$14,MIN(MATCH(C46,BSR_Table!$A$2:$A$14,1),12)))))</f>
        <v>10.6866150146941</v>
      </c>
      <c r="G46" s="24" t="n">
        <f aca="false">F46*Sales_Estimates!$B$6*D46</f>
        <v>1279.18781725888</v>
      </c>
      <c r="H46" s="23" t="n">
        <f aca="false">G46/E46</f>
        <v>1.4324611615441</v>
      </c>
      <c r="I46" s="6" t="s">
        <v>119</v>
      </c>
    </row>
    <row r="47" customFormat="false" ht="23.85" hidden="false" customHeight="false" outlineLevel="0" collapsed="false">
      <c r="A47" s="6" t="s">
        <v>49</v>
      </c>
      <c r="B47" s="3" t="s">
        <v>1535</v>
      </c>
      <c r="C47" s="12" t="n">
        <v>19277</v>
      </c>
      <c r="D47" s="28" t="n">
        <v>14.99</v>
      </c>
      <c r="E47" s="36" t="n">
        <v>3357</v>
      </c>
      <c r="F47" s="10" t="n">
        <f aca="false">EXP(LN(INDEX(BSR_Table!$B$2:$B$14,MIN(MATCH(C47,BSR_Table!$A$2:$A$14,1),12)))+(LN(C47)-LN(INDEX(BSR_Table!$A$2:$A$14,MIN(MATCH(C47,BSR_Table!$A$2:$A$14,1),12))))*(LN(INDEX(BSR_Table!$B$2:$B$14,MIN(MATCH(C47,BSR_Table!$A$2:$A$14,1),12)+1))-LN(INDEX(BSR_Table!$B$2:$B$14,MIN(MATCH(C47,BSR_Table!$A$2:$A$14,1),12))))/(LN(INDEX(BSR_Table!$A$2:$A$14,MIN(MATCH(C47,BSR_Table!$A$2:$A$14,1),12)+1))-LN(INDEX(BSR_Table!$A$2:$A$14,MIN(MATCH(C47,BSR_Table!$A$2:$A$14,1),12)))))</f>
        <v>10.3750583597033</v>
      </c>
      <c r="G47" s="24" t="n">
        <f aca="false">F47*Sales_Estimates!$B$6*D47</f>
        <v>4665.66374435856</v>
      </c>
      <c r="H47" s="23" t="n">
        <f aca="false">G47/E47</f>
        <v>1.38983132092897</v>
      </c>
      <c r="I47" s="6" t="s">
        <v>127</v>
      </c>
    </row>
    <row r="48" customFormat="false" ht="46.25" hidden="false" customHeight="false" outlineLevel="0" collapsed="false">
      <c r="A48" s="6" t="s">
        <v>49</v>
      </c>
      <c r="B48" s="3" t="s">
        <v>1536</v>
      </c>
      <c r="C48" s="12" t="n">
        <v>21996</v>
      </c>
      <c r="D48" s="28" t="n">
        <v>2.99</v>
      </c>
      <c r="E48" s="36" t="n">
        <v>586</v>
      </c>
      <c r="F48" s="10" t="n">
        <f aca="false">EXP(LN(INDEX(BSR_Table!$B$2:$B$14,MIN(MATCH(C48,BSR_Table!$A$2:$A$14,1),12)))+(LN(C48)-LN(INDEX(BSR_Table!$A$2:$A$14,MIN(MATCH(C48,BSR_Table!$A$2:$A$14,1),12))))*(LN(INDEX(BSR_Table!$B$2:$B$14,MIN(MATCH(C48,BSR_Table!$A$2:$A$14,1),12)+1))-LN(INDEX(BSR_Table!$B$2:$B$14,MIN(MATCH(C48,BSR_Table!$A$2:$A$14,1),12))))/(LN(INDEX(BSR_Table!$A$2:$A$14,MIN(MATCH(C48,BSR_Table!$A$2:$A$14,1),12)+1))-LN(INDEX(BSR_Table!$A$2:$A$14,MIN(MATCH(C48,BSR_Table!$A$2:$A$14,1),12)))))</f>
        <v>9.09256228405165</v>
      </c>
      <c r="G48" s="24" t="n">
        <f aca="false">F48*Sales_Estimates!$B$6*D48</f>
        <v>815.602836879433</v>
      </c>
      <c r="H48" s="23" t="n">
        <f aca="false">G48/E48</f>
        <v>1.39181371481132</v>
      </c>
      <c r="I48" s="6" t="s">
        <v>127</v>
      </c>
    </row>
    <row r="49" customFormat="false" ht="15" hidden="false" customHeight="false" outlineLevel="0" collapsed="false">
      <c r="A49" s="6" t="s">
        <v>52</v>
      </c>
      <c r="B49" s="3" t="s">
        <v>458</v>
      </c>
      <c r="C49" s="12" t="n">
        <v>469</v>
      </c>
      <c r="D49" s="28" t="n">
        <v>1.99</v>
      </c>
      <c r="E49" s="36" t="n">
        <v>9639</v>
      </c>
      <c r="F49" s="10" t="n">
        <f aca="false">EXP(LN(INDEX(BSR_Table!$B$2:$B$14,MIN(MATCH(C49,BSR_Table!$A$2:$A$14,1),12)))+(LN(C49)-LN(INDEX(BSR_Table!$A$2:$A$14,MIN(MATCH(C49,BSR_Table!$A$2:$A$14,1),12))))*(LN(INDEX(BSR_Table!$B$2:$B$14,MIN(MATCH(C49,BSR_Table!$A$2:$A$14,1),12)+1))-LN(INDEX(BSR_Table!$B$2:$B$14,MIN(MATCH(C49,BSR_Table!$A$2:$A$14,1),12))))/(LN(INDEX(BSR_Table!$A$2:$A$14,MIN(MATCH(C49,BSR_Table!$A$2:$A$14,1),12)+1))-LN(INDEX(BSR_Table!$A$2:$A$14,MIN(MATCH(C49,BSR_Table!$A$2:$A$14,1),12)))))</f>
        <v>295.399932866657</v>
      </c>
      <c r="G49" s="24" t="n">
        <f aca="false">F49*Sales_Estimates!$B$6*D49</f>
        <v>17635.3759921394</v>
      </c>
      <c r="H49" s="23" t="n">
        <f aca="false">G49/E49</f>
        <v>1.82958564084858</v>
      </c>
      <c r="I49" s="6" t="s">
        <v>119</v>
      </c>
    </row>
    <row r="50" customFormat="false" ht="35.05" hidden="false" customHeight="false" outlineLevel="0" collapsed="false">
      <c r="A50" s="6" t="s">
        <v>52</v>
      </c>
      <c r="B50" s="3" t="s">
        <v>464</v>
      </c>
      <c r="C50" s="12" t="n">
        <v>524</v>
      </c>
      <c r="D50" s="28" t="n">
        <v>2.99</v>
      </c>
      <c r="E50" s="36" t="n">
        <v>13060</v>
      </c>
      <c r="F50" s="10" t="n">
        <f aca="false">EXP(LN(INDEX(BSR_Table!$B$2:$B$14,MIN(MATCH(C50,BSR_Table!$A$2:$A$14,1),12)))+(LN(C50)-LN(INDEX(BSR_Table!$A$2:$A$14,MIN(MATCH(C50,BSR_Table!$A$2:$A$14,1),12))))*(LN(INDEX(BSR_Table!$B$2:$B$14,MIN(MATCH(C50,BSR_Table!$A$2:$A$14,1),12)+1))-LN(INDEX(BSR_Table!$B$2:$B$14,MIN(MATCH(C50,BSR_Table!$A$2:$A$14,1),12))))/(LN(INDEX(BSR_Table!$A$2:$A$14,MIN(MATCH(C50,BSR_Table!$A$2:$A$14,1),12)+1))-LN(INDEX(BSR_Table!$A$2:$A$14,MIN(MATCH(C50,BSR_Table!$A$2:$A$14,1),12)))))</f>
        <v>264.40432432483</v>
      </c>
      <c r="G50" s="24" t="n">
        <f aca="false">F50*Sales_Estimates!$B$6*D50</f>
        <v>23717.0678919372</v>
      </c>
      <c r="H50" s="23" t="n">
        <f aca="false">G50/E50</f>
        <v>1.81600826125094</v>
      </c>
      <c r="I50" s="6" t="s">
        <v>119</v>
      </c>
    </row>
    <row r="51" customFormat="false" ht="23.85" hidden="false" customHeight="false" outlineLevel="0" collapsed="false">
      <c r="A51" s="6" t="s">
        <v>52</v>
      </c>
      <c r="B51" s="3" t="s">
        <v>398</v>
      </c>
      <c r="C51" s="12" t="n">
        <v>927</v>
      </c>
      <c r="D51" s="28" t="n">
        <v>12.99</v>
      </c>
      <c r="E51" s="36" t="n">
        <v>32007</v>
      </c>
      <c r="F51" s="10" t="n">
        <f aca="false">EXP(LN(INDEX(BSR_Table!$B$2:$B$14,MIN(MATCH(C51,BSR_Table!$A$2:$A$14,1),12)))+(LN(C51)-LN(INDEX(BSR_Table!$A$2:$A$14,MIN(MATCH(C51,BSR_Table!$A$2:$A$14,1),12))))*(LN(INDEX(BSR_Table!$B$2:$B$14,MIN(MATCH(C51,BSR_Table!$A$2:$A$14,1),12)+1))-LN(INDEX(BSR_Table!$B$2:$B$14,MIN(MATCH(C51,BSR_Table!$A$2:$A$14,1),12))))/(LN(INDEX(BSR_Table!$A$2:$A$14,MIN(MATCH(C51,BSR_Table!$A$2:$A$14,1),12)+1))-LN(INDEX(BSR_Table!$A$2:$A$14,MIN(MATCH(C51,BSR_Table!$A$2:$A$14,1),12)))))</f>
        <v>131.650565680742</v>
      </c>
      <c r="G51" s="24" t="n">
        <f aca="false">F51*Sales_Estimates!$B$6*D51</f>
        <v>51304.2254457852</v>
      </c>
      <c r="H51" s="23" t="n">
        <f aca="false">G51/E51</f>
        <v>1.60290640940373</v>
      </c>
      <c r="I51" s="6" t="s">
        <v>119</v>
      </c>
    </row>
    <row r="52" customFormat="false" ht="23.85" hidden="false" customHeight="false" outlineLevel="0" collapsed="false">
      <c r="A52" s="6" t="s">
        <v>52</v>
      </c>
      <c r="B52" s="3" t="s">
        <v>1537</v>
      </c>
      <c r="C52" s="12" t="n">
        <v>1945</v>
      </c>
      <c r="D52" s="28" t="n">
        <v>14.99</v>
      </c>
      <c r="E52" s="36" t="n">
        <v>24343</v>
      </c>
      <c r="F52" s="10" t="n">
        <f aca="false">EXP(LN(INDEX(BSR_Table!$B$2:$B$14,MIN(MATCH(C52,BSR_Table!$A$2:$A$14,1),12)))+(LN(C52)-LN(INDEX(BSR_Table!$A$2:$A$14,MIN(MATCH(C52,BSR_Table!$A$2:$A$14,1),12))))*(LN(INDEX(BSR_Table!$B$2:$B$14,MIN(MATCH(C52,BSR_Table!$A$2:$A$14,1),12)+1))-LN(INDEX(BSR_Table!$B$2:$B$14,MIN(MATCH(C52,BSR_Table!$A$2:$A$14,1),12))))/(LN(INDEX(BSR_Table!$A$2:$A$14,MIN(MATCH(C52,BSR_Table!$A$2:$A$14,1),12)+1))-LN(INDEX(BSR_Table!$A$2:$A$14,MIN(MATCH(C52,BSR_Table!$A$2:$A$14,1),12)))))</f>
        <v>66.6231668512034</v>
      </c>
      <c r="G52" s="24" t="n">
        <f aca="false">F52*Sales_Estimates!$B$6*D52</f>
        <v>29960.4381329862</v>
      </c>
      <c r="H52" s="23" t="n">
        <f aca="false">G52/E52</f>
        <v>1.23076194934832</v>
      </c>
      <c r="I52" s="6" t="s">
        <v>127</v>
      </c>
    </row>
    <row r="53" customFormat="false" ht="23.85" hidden="false" customHeight="false" outlineLevel="0" collapsed="false">
      <c r="A53" s="6" t="s">
        <v>52</v>
      </c>
      <c r="B53" s="3" t="s">
        <v>1538</v>
      </c>
      <c r="C53" s="12" t="n">
        <v>2257</v>
      </c>
      <c r="D53" s="28" t="n">
        <v>9.99</v>
      </c>
      <c r="E53" s="36" t="n">
        <v>14545</v>
      </c>
      <c r="F53" s="10" t="n">
        <f aca="false">EXP(LN(INDEX(BSR_Table!$B$2:$B$14,MIN(MATCH(C53,BSR_Table!$A$2:$A$14,1),12)))+(LN(C53)-LN(INDEX(BSR_Table!$A$2:$A$14,MIN(MATCH(C53,BSR_Table!$A$2:$A$14,1),12))))*(LN(INDEX(BSR_Table!$B$2:$B$14,MIN(MATCH(C53,BSR_Table!$A$2:$A$14,1),12)+1))-LN(INDEX(BSR_Table!$B$2:$B$14,MIN(MATCH(C53,BSR_Table!$A$2:$A$14,1),12))))/(LN(INDEX(BSR_Table!$A$2:$A$14,MIN(MATCH(C53,BSR_Table!$A$2:$A$14,1),12)+1))-LN(INDEX(BSR_Table!$A$2:$A$14,MIN(MATCH(C53,BSR_Table!$A$2:$A$14,1),12)))))</f>
        <v>58.696360786949</v>
      </c>
      <c r="G53" s="24" t="n">
        <f aca="false">F53*Sales_Estimates!$B$6*D53</f>
        <v>17591.2993278486</v>
      </c>
      <c r="H53" s="23" t="n">
        <f aca="false">G53/E53</f>
        <v>1.20943962377784</v>
      </c>
      <c r="I53" s="6" t="s">
        <v>119</v>
      </c>
    </row>
    <row r="54" customFormat="false" ht="23.85" hidden="false" customHeight="false" outlineLevel="0" collapsed="false">
      <c r="A54" s="6" t="s">
        <v>52</v>
      </c>
      <c r="B54" s="3" t="s">
        <v>1539</v>
      </c>
      <c r="C54" s="12" t="n">
        <v>3097</v>
      </c>
      <c r="D54" s="28" t="n">
        <v>1.99</v>
      </c>
      <c r="E54" s="36" t="n">
        <v>2228</v>
      </c>
      <c r="F54" s="10" t="n">
        <f aca="false">EXP(LN(INDEX(BSR_Table!$B$2:$B$14,MIN(MATCH(C54,BSR_Table!$A$2:$A$14,1),12)))+(LN(C54)-LN(INDEX(BSR_Table!$A$2:$A$14,MIN(MATCH(C54,BSR_Table!$A$2:$A$14,1),12))))*(LN(INDEX(BSR_Table!$B$2:$B$14,MIN(MATCH(C54,BSR_Table!$A$2:$A$14,1),12)+1))-LN(INDEX(BSR_Table!$B$2:$B$14,MIN(MATCH(C54,BSR_Table!$A$2:$A$14,1),12))))/(LN(INDEX(BSR_Table!$A$2:$A$14,MIN(MATCH(C54,BSR_Table!$A$2:$A$14,1),12)+1))-LN(INDEX(BSR_Table!$A$2:$A$14,MIN(MATCH(C54,BSR_Table!$A$2:$A$14,1),12)))))</f>
        <v>44.9429268206728</v>
      </c>
      <c r="G54" s="24" t="n">
        <f aca="false">F54*Sales_Estimates!$B$6*D54</f>
        <v>2683.09273119417</v>
      </c>
      <c r="H54" s="23" t="n">
        <f aca="false">G54/E54</f>
        <v>1.20426065134388</v>
      </c>
      <c r="I54" s="6" t="s">
        <v>119</v>
      </c>
    </row>
    <row r="55" customFormat="false" ht="23.85" hidden="false" customHeight="false" outlineLevel="0" collapsed="false">
      <c r="A55" s="6" t="s">
        <v>52</v>
      </c>
      <c r="B55" s="3" t="s">
        <v>1540</v>
      </c>
      <c r="C55" s="12" t="n">
        <v>3437</v>
      </c>
      <c r="D55" s="28" t="n">
        <v>1.99</v>
      </c>
      <c r="E55" s="36" t="n">
        <v>1950</v>
      </c>
      <c r="F55" s="10" t="n">
        <f aca="false">EXP(LN(INDEX(BSR_Table!$B$2:$B$14,MIN(MATCH(C55,BSR_Table!$A$2:$A$14,1),12)))+(LN(C55)-LN(INDEX(BSR_Table!$A$2:$A$14,MIN(MATCH(C55,BSR_Table!$A$2:$A$14,1),12))))*(LN(INDEX(BSR_Table!$B$2:$B$14,MIN(MATCH(C55,BSR_Table!$A$2:$A$14,1),12)+1))-LN(INDEX(BSR_Table!$B$2:$B$14,MIN(MATCH(C55,BSR_Table!$A$2:$A$14,1),12))))/(LN(INDEX(BSR_Table!$A$2:$A$14,MIN(MATCH(C55,BSR_Table!$A$2:$A$14,1),12)+1))-LN(INDEX(BSR_Table!$A$2:$A$14,MIN(MATCH(C55,BSR_Table!$A$2:$A$14,1),12)))))</f>
        <v>41.1612047777613</v>
      </c>
      <c r="G55" s="24" t="n">
        <f aca="false">F55*Sales_Estimates!$B$6*D55</f>
        <v>2457.32392523235</v>
      </c>
      <c r="H55" s="23" t="n">
        <f aca="false">G55/E55</f>
        <v>1.26016611550377</v>
      </c>
      <c r="I55" s="6" t="s">
        <v>119</v>
      </c>
    </row>
    <row r="56" customFormat="false" ht="23.85" hidden="false" customHeight="false" outlineLevel="0" collapsed="false">
      <c r="A56" s="6" t="s">
        <v>52</v>
      </c>
      <c r="B56" s="3" t="s">
        <v>1541</v>
      </c>
      <c r="C56" s="12" t="n">
        <v>4934</v>
      </c>
      <c r="D56" s="28" t="n">
        <v>13.49</v>
      </c>
      <c r="E56" s="36" t="n">
        <v>7932</v>
      </c>
      <c r="F56" s="10" t="n">
        <f aca="false">EXP(LN(INDEX(BSR_Table!$B$2:$B$14,MIN(MATCH(C56,BSR_Table!$A$2:$A$14,1),12)))+(LN(C56)-LN(INDEX(BSR_Table!$A$2:$A$14,MIN(MATCH(C56,BSR_Table!$A$2:$A$14,1),12))))*(LN(INDEX(BSR_Table!$B$2:$B$14,MIN(MATCH(C56,BSR_Table!$A$2:$A$14,1),12)+1))-LN(INDEX(BSR_Table!$B$2:$B$14,MIN(MATCH(C56,BSR_Table!$A$2:$A$14,1),12))))/(LN(INDEX(BSR_Table!$A$2:$A$14,MIN(MATCH(C56,BSR_Table!$A$2:$A$14,1),12)+1))-LN(INDEX(BSR_Table!$A$2:$A$14,MIN(MATCH(C56,BSR_Table!$A$2:$A$14,1),12)))))</f>
        <v>30.3382730254845</v>
      </c>
      <c r="G56" s="24" t="n">
        <f aca="false">F56*Sales_Estimates!$B$6*D56</f>
        <v>12277.8990934136</v>
      </c>
      <c r="H56" s="23" t="n">
        <f aca="false">G56/E56</f>
        <v>1.54789448984034</v>
      </c>
      <c r="I56" s="6" t="s">
        <v>119</v>
      </c>
    </row>
    <row r="57" customFormat="false" ht="15" hidden="false" customHeight="false" outlineLevel="0" collapsed="false">
      <c r="A57" s="6" t="s">
        <v>52</v>
      </c>
      <c r="B57" s="3" t="s">
        <v>1542</v>
      </c>
      <c r="C57" s="12" t="n">
        <v>5035</v>
      </c>
      <c r="D57" s="28" t="n">
        <v>14.99</v>
      </c>
      <c r="E57" s="36" t="n">
        <v>8394</v>
      </c>
      <c r="F57" s="10" t="n">
        <f aca="false">EXP(LN(INDEX(BSR_Table!$B$2:$B$14,MIN(MATCH(C57,BSR_Table!$A$2:$A$14,1),12)))+(LN(C57)-LN(INDEX(BSR_Table!$A$2:$A$14,MIN(MATCH(C57,BSR_Table!$A$2:$A$14,1),12))))*(LN(INDEX(BSR_Table!$B$2:$B$14,MIN(MATCH(C57,BSR_Table!$A$2:$A$14,1),12)+1))-LN(INDEX(BSR_Table!$B$2:$B$14,MIN(MATCH(C57,BSR_Table!$A$2:$A$14,1),12))))/(LN(INDEX(BSR_Table!$A$2:$A$14,MIN(MATCH(C57,BSR_Table!$A$2:$A$14,1),12)+1))-LN(INDEX(BSR_Table!$A$2:$A$14,MIN(MATCH(C57,BSR_Table!$A$2:$A$14,1),12)))))</f>
        <v>29.8778352408139</v>
      </c>
      <c r="G57" s="24" t="n">
        <f aca="false">F57*Sales_Estimates!$B$6*D57</f>
        <v>13436.062507794</v>
      </c>
      <c r="H57" s="23" t="n">
        <f aca="false">G57/E57</f>
        <v>1.60067458992066</v>
      </c>
      <c r="I57" s="6" t="s">
        <v>119</v>
      </c>
    </row>
    <row r="58" customFormat="false" ht="23.85" hidden="false" customHeight="false" outlineLevel="0" collapsed="false">
      <c r="A58" s="6" t="s">
        <v>52</v>
      </c>
      <c r="B58" s="3" t="s">
        <v>525</v>
      </c>
      <c r="C58" s="12" t="n">
        <v>5184</v>
      </c>
      <c r="D58" s="28" t="n">
        <v>9.99</v>
      </c>
      <c r="E58" s="36" t="n">
        <v>5314</v>
      </c>
      <c r="F58" s="10" t="n">
        <f aca="false">EXP(LN(INDEX(BSR_Table!$B$2:$B$14,MIN(MATCH(C58,BSR_Table!$A$2:$A$14,1),12)))+(LN(C58)-LN(INDEX(BSR_Table!$A$2:$A$14,MIN(MATCH(C58,BSR_Table!$A$2:$A$14,1),12))))*(LN(INDEX(BSR_Table!$B$2:$B$14,MIN(MATCH(C58,BSR_Table!$A$2:$A$14,1),12)+1))-LN(INDEX(BSR_Table!$B$2:$B$14,MIN(MATCH(C58,BSR_Table!$A$2:$A$14,1),12))))/(LN(INDEX(BSR_Table!$A$2:$A$14,MIN(MATCH(C58,BSR_Table!$A$2:$A$14,1),12)+1))-LN(INDEX(BSR_Table!$A$2:$A$14,MIN(MATCH(C58,BSR_Table!$A$2:$A$14,1),12)))))</f>
        <v>29.37245688474</v>
      </c>
      <c r="G58" s="24" t="n">
        <f aca="false">F58*Sales_Estimates!$B$6*D58</f>
        <v>8802.92532835659</v>
      </c>
      <c r="H58" s="23" t="n">
        <f aca="false">G58/E58</f>
        <v>1.65655350552439</v>
      </c>
      <c r="I58" s="6" t="s">
        <v>127</v>
      </c>
    </row>
    <row r="59" customFormat="false" ht="15" hidden="false" customHeight="false" outlineLevel="0" collapsed="false">
      <c r="A59" s="6" t="s">
        <v>52</v>
      </c>
      <c r="B59" s="3" t="s">
        <v>405</v>
      </c>
      <c r="C59" s="12" t="n">
        <v>6066</v>
      </c>
      <c r="D59" s="28" t="n">
        <v>8.01</v>
      </c>
      <c r="E59" s="36" t="n">
        <v>3364</v>
      </c>
      <c r="F59" s="10" t="n">
        <f aca="false">EXP(LN(INDEX(BSR_Table!$B$2:$B$14,MIN(MATCH(C59,BSR_Table!$A$2:$A$14,1),12)))+(LN(C59)-LN(INDEX(BSR_Table!$A$2:$A$14,MIN(MATCH(C59,BSR_Table!$A$2:$A$14,1),12))))*(LN(INDEX(BSR_Table!$B$2:$B$14,MIN(MATCH(C59,BSR_Table!$A$2:$A$14,1),12)+1))-LN(INDEX(BSR_Table!$B$2:$B$14,MIN(MATCH(C59,BSR_Table!$A$2:$A$14,1),12))))/(LN(INDEX(BSR_Table!$A$2:$A$14,MIN(MATCH(C59,BSR_Table!$A$2:$A$14,1),12)+1))-LN(INDEX(BSR_Table!$A$2:$A$14,MIN(MATCH(C59,BSR_Table!$A$2:$A$14,1),12)))))</f>
        <v>26.7931605926907</v>
      </c>
      <c r="G59" s="24" t="n">
        <f aca="false">F59*Sales_Estimates!$B$6*D59</f>
        <v>6438.39649042357</v>
      </c>
      <c r="H59" s="23" t="n">
        <f aca="false">G59/E59</f>
        <v>1.91391096623768</v>
      </c>
      <c r="I59" s="6" t="s">
        <v>119</v>
      </c>
    </row>
    <row r="60" customFormat="false" ht="23.85" hidden="false" customHeight="false" outlineLevel="0" collapsed="false">
      <c r="A60" s="6" t="s">
        <v>52</v>
      </c>
      <c r="B60" s="3" t="s">
        <v>1543</v>
      </c>
      <c r="C60" s="12" t="n">
        <v>6125</v>
      </c>
      <c r="D60" s="28" t="n">
        <v>21.99</v>
      </c>
      <c r="E60" s="36" t="n">
        <v>9235</v>
      </c>
      <c r="F60" s="10" t="n">
        <f aca="false">EXP(LN(INDEX(BSR_Table!$B$2:$B$14,MIN(MATCH(C60,BSR_Table!$A$2:$A$14,1),12)))+(LN(C60)-LN(INDEX(BSR_Table!$A$2:$A$14,MIN(MATCH(C60,BSR_Table!$A$2:$A$14,1),12))))*(LN(INDEX(BSR_Table!$B$2:$B$14,MIN(MATCH(C60,BSR_Table!$A$2:$A$14,1),12)+1))-LN(INDEX(BSR_Table!$B$2:$B$14,MIN(MATCH(C60,BSR_Table!$A$2:$A$14,1),12))))/(LN(INDEX(BSR_Table!$A$2:$A$14,MIN(MATCH(C60,BSR_Table!$A$2:$A$14,1),12)+1))-LN(INDEX(BSR_Table!$A$2:$A$14,MIN(MATCH(C60,BSR_Table!$A$2:$A$14,1),12)))))</f>
        <v>26.6418849102752</v>
      </c>
      <c r="G60" s="24" t="n">
        <f aca="false">F60*Sales_Estimates!$B$6*D60</f>
        <v>17575.6514753086</v>
      </c>
      <c r="H60" s="23" t="n">
        <f aca="false">G60/E60</f>
        <v>1.90315662970315</v>
      </c>
      <c r="I60" s="6" t="s">
        <v>119</v>
      </c>
    </row>
    <row r="61" customFormat="false" ht="23.85" hidden="false" customHeight="false" outlineLevel="0" collapsed="false">
      <c r="A61" s="6" t="s">
        <v>52</v>
      </c>
      <c r="B61" s="3" t="s">
        <v>1544</v>
      </c>
      <c r="C61" s="12" t="n">
        <v>7033</v>
      </c>
      <c r="D61" s="28" t="n">
        <v>9.99</v>
      </c>
      <c r="E61" s="36" t="n">
        <v>3916</v>
      </c>
      <c r="F61" s="10" t="n">
        <f aca="false">EXP(LN(INDEX(BSR_Table!$B$2:$B$14,MIN(MATCH(C61,BSR_Table!$A$2:$A$14,1),12)))+(LN(C61)-LN(INDEX(BSR_Table!$A$2:$A$14,MIN(MATCH(C61,BSR_Table!$A$2:$A$14,1),12))))*(LN(INDEX(BSR_Table!$B$2:$B$14,MIN(MATCH(C61,BSR_Table!$A$2:$A$14,1),12)+1))-LN(INDEX(BSR_Table!$B$2:$B$14,MIN(MATCH(C61,BSR_Table!$A$2:$A$14,1),12))))/(LN(INDEX(BSR_Table!$A$2:$A$14,MIN(MATCH(C61,BSR_Table!$A$2:$A$14,1),12)+1))-LN(INDEX(BSR_Table!$A$2:$A$14,MIN(MATCH(C61,BSR_Table!$A$2:$A$14,1),12)))))</f>
        <v>24.5723675244798</v>
      </c>
      <c r="G61" s="24" t="n">
        <f aca="false">F61*Sales_Estimates!$B$6*D61</f>
        <v>7364.33854708659</v>
      </c>
      <c r="H61" s="23" t="n">
        <f aca="false">G61/E61</f>
        <v>1.88057674848994</v>
      </c>
      <c r="I61" s="6" t="s">
        <v>119</v>
      </c>
    </row>
    <row r="62" customFormat="false" ht="23.85" hidden="false" customHeight="false" outlineLevel="0" collapsed="false">
      <c r="A62" s="6" t="s">
        <v>52</v>
      </c>
      <c r="B62" s="3" t="s">
        <v>1545</v>
      </c>
      <c r="C62" s="12" t="n">
        <v>7116</v>
      </c>
      <c r="D62" s="28" t="n">
        <v>9.99</v>
      </c>
      <c r="E62" s="36" t="n">
        <v>3916</v>
      </c>
      <c r="F62" s="10" t="n">
        <f aca="false">EXP(LN(INDEX(BSR_Table!$B$2:$B$14,MIN(MATCH(C62,BSR_Table!$A$2:$A$14,1),12)))+(LN(C62)-LN(INDEX(BSR_Table!$A$2:$A$14,MIN(MATCH(C62,BSR_Table!$A$2:$A$14,1),12))))*(LN(INDEX(BSR_Table!$B$2:$B$14,MIN(MATCH(C62,BSR_Table!$A$2:$A$14,1),12)+1))-LN(INDEX(BSR_Table!$B$2:$B$14,MIN(MATCH(C62,BSR_Table!$A$2:$A$14,1),12))))/(LN(INDEX(BSR_Table!$A$2:$A$14,MIN(MATCH(C62,BSR_Table!$A$2:$A$14,1),12)+1))-LN(INDEX(BSR_Table!$A$2:$A$14,MIN(MATCH(C62,BSR_Table!$A$2:$A$14,1),12)))))</f>
        <v>24.4043042124363</v>
      </c>
      <c r="G62" s="24" t="n">
        <f aca="false">F62*Sales_Estimates!$B$6*D62</f>
        <v>7313.96997246716</v>
      </c>
      <c r="H62" s="23" t="n">
        <f aca="false">G62/E62</f>
        <v>1.86771449756567</v>
      </c>
      <c r="I62" s="6" t="s">
        <v>119</v>
      </c>
    </row>
    <row r="63" customFormat="false" ht="23.85" hidden="false" customHeight="false" outlineLevel="0" collapsed="false">
      <c r="A63" s="6" t="s">
        <v>52</v>
      </c>
      <c r="B63" s="3" t="s">
        <v>1546</v>
      </c>
      <c r="C63" s="12" t="n">
        <v>7187</v>
      </c>
      <c r="D63" s="28" t="n">
        <v>9.99</v>
      </c>
      <c r="E63" s="36" t="n">
        <v>3916</v>
      </c>
      <c r="F63" s="10" t="n">
        <f aca="false">EXP(LN(INDEX(BSR_Table!$B$2:$B$14,MIN(MATCH(C63,BSR_Table!$A$2:$A$14,1),12)))+(LN(C63)-LN(INDEX(BSR_Table!$A$2:$A$14,MIN(MATCH(C63,BSR_Table!$A$2:$A$14,1),12))))*(LN(INDEX(BSR_Table!$B$2:$B$14,MIN(MATCH(C63,BSR_Table!$A$2:$A$14,1),12)+1))-LN(INDEX(BSR_Table!$B$2:$B$14,MIN(MATCH(C63,BSR_Table!$A$2:$A$14,1),12))))/(LN(INDEX(BSR_Table!$A$2:$A$14,MIN(MATCH(C63,BSR_Table!$A$2:$A$14,1),12)+1))-LN(INDEX(BSR_Table!$A$2:$A$14,MIN(MATCH(C63,BSR_Table!$A$2:$A$14,1),12)))))</f>
        <v>24.2629858010621</v>
      </c>
      <c r="G63" s="24" t="n">
        <f aca="false">F63*Sales_Estimates!$B$6*D63</f>
        <v>7271.61684457833</v>
      </c>
      <c r="H63" s="23" t="n">
        <f aca="false">G63/E63</f>
        <v>1.85689909207822</v>
      </c>
      <c r="I63" s="6" t="s">
        <v>119</v>
      </c>
    </row>
    <row r="64" customFormat="false" ht="23.85" hidden="false" customHeight="false" outlineLevel="0" collapsed="false">
      <c r="A64" s="6" t="s">
        <v>59</v>
      </c>
      <c r="B64" s="3" t="s">
        <v>1547</v>
      </c>
      <c r="C64" s="12" t="n">
        <v>9956</v>
      </c>
      <c r="D64" s="28" t="n">
        <v>12.99</v>
      </c>
      <c r="E64" s="36" t="n">
        <v>4364</v>
      </c>
      <c r="F64" s="10" t="n">
        <f aca="false">EXP(LN(INDEX(BSR_Table!$B$2:$B$14,MIN(MATCH(C64,BSR_Table!$A$2:$A$14,1),12)))+(LN(C64)-LN(INDEX(BSR_Table!$A$2:$A$14,MIN(MATCH(C64,BSR_Table!$A$2:$A$14,1),12))))*(LN(INDEX(BSR_Table!$B$2:$B$14,MIN(MATCH(C64,BSR_Table!$A$2:$A$14,1),12)+1))-LN(INDEX(BSR_Table!$B$2:$B$14,MIN(MATCH(C64,BSR_Table!$A$2:$A$14,1),12))))/(LN(INDEX(BSR_Table!$A$2:$A$14,MIN(MATCH(C64,BSR_Table!$A$2:$A$14,1),12)+1))-LN(INDEX(BSR_Table!$A$2:$A$14,MIN(MATCH(C64,BSR_Table!$A$2:$A$14,1),12)))))</f>
        <v>20.0516568782798</v>
      </c>
      <c r="G64" s="24" t="n">
        <f aca="false">F64*Sales_Estimates!$B$6*D64</f>
        <v>7814.13068546565</v>
      </c>
      <c r="H64" s="23" t="n">
        <f aca="false">G64/E64</f>
        <v>1.79058906633035</v>
      </c>
      <c r="I64" s="6" t="s">
        <v>127</v>
      </c>
    </row>
    <row r="65" customFormat="false" ht="23.85" hidden="false" customHeight="false" outlineLevel="0" collapsed="false">
      <c r="A65" s="6" t="s">
        <v>59</v>
      </c>
      <c r="B65" s="3" t="s">
        <v>645</v>
      </c>
      <c r="C65" s="12" t="n">
        <v>20896</v>
      </c>
      <c r="D65" s="28" t="n">
        <v>0.99</v>
      </c>
      <c r="E65" s="36" t="n">
        <v>194</v>
      </c>
      <c r="F65" s="10" t="n">
        <f aca="false">EXP(LN(INDEX(BSR_Table!$B$2:$B$14,MIN(MATCH(C65,BSR_Table!$A$2:$A$14,1),12)))+(LN(C65)-LN(INDEX(BSR_Table!$A$2:$A$14,MIN(MATCH(C65,BSR_Table!$A$2:$A$14,1),12))))*(LN(INDEX(BSR_Table!$B$2:$B$14,MIN(MATCH(C65,BSR_Table!$A$2:$A$14,1),12)+1))-LN(INDEX(BSR_Table!$B$2:$B$14,MIN(MATCH(C65,BSR_Table!$A$2:$A$14,1),12))))/(LN(INDEX(BSR_Table!$A$2:$A$14,MIN(MATCH(C65,BSR_Table!$A$2:$A$14,1),12)+1))-LN(INDEX(BSR_Table!$A$2:$A$14,MIN(MATCH(C65,BSR_Table!$A$2:$A$14,1),12)))))</f>
        <v>9.57120980091883</v>
      </c>
      <c r="G65" s="24" t="n">
        <f aca="false">F65*Sales_Estimates!$B$6*D65</f>
        <v>284.264931087289</v>
      </c>
      <c r="H65" s="23" t="n">
        <f aca="false">G65/E65</f>
        <v>1.46528314993448</v>
      </c>
      <c r="I65" s="6" t="s">
        <v>119</v>
      </c>
    </row>
    <row r="66" customFormat="false" ht="15" hidden="false" customHeight="false" outlineLevel="0" collapsed="false">
      <c r="A66" s="6" t="s">
        <v>59</v>
      </c>
      <c r="B66" s="3" t="s">
        <v>1548</v>
      </c>
      <c r="C66" s="12" t="n">
        <v>28000</v>
      </c>
      <c r="D66" s="28" t="n">
        <v>2.99</v>
      </c>
      <c r="E66" s="36" t="n">
        <v>502</v>
      </c>
      <c r="F66" s="10" t="n">
        <f aca="false">EXP(LN(INDEX(BSR_Table!$B$2:$B$14,MIN(MATCH(C66,BSR_Table!$A$2:$A$14,1),12)))+(LN(C66)-LN(INDEX(BSR_Table!$A$2:$A$14,MIN(MATCH(C66,BSR_Table!$A$2:$A$14,1),12))))*(LN(INDEX(BSR_Table!$B$2:$B$14,MIN(MATCH(C66,BSR_Table!$A$2:$A$14,1),12)+1))-LN(INDEX(BSR_Table!$B$2:$B$14,MIN(MATCH(C66,BSR_Table!$A$2:$A$14,1),12))))/(LN(INDEX(BSR_Table!$A$2:$A$14,MIN(MATCH(C66,BSR_Table!$A$2:$A$14,1),12)+1))-LN(INDEX(BSR_Table!$A$2:$A$14,MIN(MATCH(C66,BSR_Table!$A$2:$A$14,1),12)))))</f>
        <v>7.14285714285714</v>
      </c>
      <c r="G66" s="24" t="n">
        <f aca="false">F66*Sales_Estimates!$B$6*D66</f>
        <v>640.714285714285</v>
      </c>
      <c r="H66" s="23" t="n">
        <f aca="false">G66/E66</f>
        <v>1.27632327831531</v>
      </c>
      <c r="I66" s="6" t="s">
        <v>119</v>
      </c>
    </row>
    <row r="67" customFormat="false" ht="23.85" hidden="false" customHeight="false" outlineLevel="0" collapsed="false">
      <c r="A67" s="6" t="s">
        <v>59</v>
      </c>
      <c r="B67" s="3" t="s">
        <v>673</v>
      </c>
      <c r="C67" s="12" t="n">
        <v>37063</v>
      </c>
      <c r="D67" s="28" t="n">
        <v>11.96</v>
      </c>
      <c r="E67" s="36" t="n">
        <v>1339</v>
      </c>
      <c r="F67" s="10" t="n">
        <f aca="false">EXP(LN(INDEX(BSR_Table!$B$2:$B$14,MIN(MATCH(C67,BSR_Table!$A$2:$A$14,1),12)))+(LN(C67)-LN(INDEX(BSR_Table!$A$2:$A$14,MIN(MATCH(C67,BSR_Table!$A$2:$A$14,1),12))))*(LN(INDEX(BSR_Table!$B$2:$B$14,MIN(MATCH(C67,BSR_Table!$A$2:$A$14,1),12)+1))-LN(INDEX(BSR_Table!$B$2:$B$14,MIN(MATCH(C67,BSR_Table!$A$2:$A$14,1),12))))/(LN(INDEX(BSR_Table!$A$2:$A$14,MIN(MATCH(C67,BSR_Table!$A$2:$A$14,1),12)+1))-LN(INDEX(BSR_Table!$A$2:$A$14,MIN(MATCH(C67,BSR_Table!$A$2:$A$14,1),12)))))</f>
        <v>5.39621725170655</v>
      </c>
      <c r="G67" s="24" t="n">
        <f aca="false">F67*Sales_Estimates!$B$6*D67</f>
        <v>1936.16274991231</v>
      </c>
      <c r="H67" s="23" t="n">
        <f aca="false">G67/E67</f>
        <v>1.44597666162234</v>
      </c>
      <c r="I67" s="6" t="s">
        <v>119</v>
      </c>
    </row>
    <row r="68" customFormat="false" ht="23.85" hidden="false" customHeight="false" outlineLevel="0" collapsed="false">
      <c r="A68" s="6" t="s">
        <v>59</v>
      </c>
      <c r="B68" s="3" t="s">
        <v>1549</v>
      </c>
      <c r="C68" s="12" t="n">
        <v>45348</v>
      </c>
      <c r="D68" s="28" t="n">
        <v>15.99</v>
      </c>
      <c r="E68" s="36" t="n">
        <v>1343</v>
      </c>
      <c r="F68" s="10" t="n">
        <f aca="false">EXP(LN(INDEX(BSR_Table!$B$2:$B$14,MIN(MATCH(C68,BSR_Table!$A$2:$A$14,1),12)))+(LN(C68)-LN(INDEX(BSR_Table!$A$2:$A$14,MIN(MATCH(C68,BSR_Table!$A$2:$A$14,1),12))))*(LN(INDEX(BSR_Table!$B$2:$B$14,MIN(MATCH(C68,BSR_Table!$A$2:$A$14,1),12)+1))-LN(INDEX(BSR_Table!$B$2:$B$14,MIN(MATCH(C68,BSR_Table!$A$2:$A$14,1),12))))/(LN(INDEX(BSR_Table!$A$2:$A$14,MIN(MATCH(C68,BSR_Table!$A$2:$A$14,1),12)+1))-LN(INDEX(BSR_Table!$A$2:$A$14,MIN(MATCH(C68,BSR_Table!$A$2:$A$14,1),12)))))</f>
        <v>4.41033783187793</v>
      </c>
      <c r="G68" s="24" t="n">
        <f aca="false">F68*Sales_Estimates!$B$6*D68</f>
        <v>2115.63905795184</v>
      </c>
      <c r="H68" s="23" t="n">
        <f aca="false">G68/E68</f>
        <v>1.57530830822922</v>
      </c>
      <c r="I68" s="6" t="s">
        <v>119</v>
      </c>
    </row>
    <row r="69" customFormat="false" ht="23.85" hidden="false" customHeight="false" outlineLevel="0" collapsed="false">
      <c r="A69" s="6" t="s">
        <v>59</v>
      </c>
      <c r="B69" s="3" t="s">
        <v>721</v>
      </c>
      <c r="C69" s="12" t="n">
        <v>58758</v>
      </c>
      <c r="D69" s="28" t="n">
        <v>8.07</v>
      </c>
      <c r="E69" s="36" t="n">
        <v>225</v>
      </c>
      <c r="F69" s="10" t="n">
        <f aca="false">EXP(LN(INDEX(BSR_Table!$B$2:$B$14,MIN(MATCH(C69,BSR_Table!$A$2:$A$14,1),12)))+(LN(C69)-LN(INDEX(BSR_Table!$A$2:$A$14,MIN(MATCH(C69,BSR_Table!$A$2:$A$14,1),12))))*(LN(INDEX(BSR_Table!$B$2:$B$14,MIN(MATCH(C69,BSR_Table!$A$2:$A$14,1),12)+1))-LN(INDEX(BSR_Table!$B$2:$B$14,MIN(MATCH(C69,BSR_Table!$A$2:$A$14,1),12))))/(LN(INDEX(BSR_Table!$A$2:$A$14,MIN(MATCH(C69,BSR_Table!$A$2:$A$14,1),12)+1))-LN(INDEX(BSR_Table!$A$2:$A$14,MIN(MATCH(C69,BSR_Table!$A$2:$A$14,1),12)))))</f>
        <v>3.1832453031857</v>
      </c>
      <c r="G69" s="24" t="n">
        <f aca="false">F69*Sales_Estimates!$B$6*D69</f>
        <v>770.663687901258</v>
      </c>
      <c r="H69" s="23" t="n">
        <f aca="false">G69/E69</f>
        <v>3.42517194622781</v>
      </c>
      <c r="I69" s="6" t="s">
        <v>119</v>
      </c>
    </row>
    <row r="70" customFormat="false" ht="35.05" hidden="false" customHeight="false" outlineLevel="0" collapsed="false">
      <c r="A70" s="6" t="s">
        <v>59</v>
      </c>
      <c r="B70" s="3" t="s">
        <v>1550</v>
      </c>
      <c r="C70" s="12" t="n">
        <v>68800</v>
      </c>
      <c r="D70" s="28" t="n">
        <v>5.99</v>
      </c>
      <c r="E70" s="36" t="n">
        <v>167</v>
      </c>
      <c r="F70" s="10" t="n">
        <f aca="false">EXP(LN(INDEX(BSR_Table!$B$2:$B$14,MIN(MATCH(C70,BSR_Table!$A$2:$A$14,1),12)))+(LN(C70)-LN(INDEX(BSR_Table!$A$2:$A$14,MIN(MATCH(C70,BSR_Table!$A$2:$A$14,1),12))))*(LN(INDEX(BSR_Table!$B$2:$B$14,MIN(MATCH(C70,BSR_Table!$A$2:$A$14,1),12)+1))-LN(INDEX(BSR_Table!$B$2:$B$14,MIN(MATCH(C70,BSR_Table!$A$2:$A$14,1),12))))/(LN(INDEX(BSR_Table!$A$2:$A$14,MIN(MATCH(C70,BSR_Table!$A$2:$A$14,1),12)+1))-LN(INDEX(BSR_Table!$A$2:$A$14,MIN(MATCH(C70,BSR_Table!$A$2:$A$14,1),12)))))</f>
        <v>2.54630081628613</v>
      </c>
      <c r="G70" s="24" t="n">
        <f aca="false">F70*Sales_Estimates!$B$6*D70</f>
        <v>457.570256686618</v>
      </c>
      <c r="H70" s="23" t="n">
        <f aca="false">G70/E70</f>
        <v>2.7399416568061</v>
      </c>
      <c r="I70" s="6" t="s">
        <v>127</v>
      </c>
    </row>
    <row r="71" customFormat="false" ht="23.85" hidden="false" customHeight="false" outlineLevel="0" collapsed="false">
      <c r="A71" s="6" t="s">
        <v>59</v>
      </c>
      <c r="B71" s="3" t="s">
        <v>1551</v>
      </c>
      <c r="C71" s="12" t="n">
        <v>70666</v>
      </c>
      <c r="D71" s="28" t="n">
        <v>2.99</v>
      </c>
      <c r="E71" s="36" t="n">
        <v>83</v>
      </c>
      <c r="F71" s="10" t="n">
        <f aca="false">EXP(LN(INDEX(BSR_Table!$B$2:$B$14,MIN(MATCH(C71,BSR_Table!$A$2:$A$14,1),12)))+(LN(C71)-LN(INDEX(BSR_Table!$A$2:$A$14,MIN(MATCH(C71,BSR_Table!$A$2:$A$14,1),12))))*(LN(INDEX(BSR_Table!$B$2:$B$14,MIN(MATCH(C71,BSR_Table!$A$2:$A$14,1),12)+1))-LN(INDEX(BSR_Table!$B$2:$B$14,MIN(MATCH(C71,BSR_Table!$A$2:$A$14,1),12))))/(LN(INDEX(BSR_Table!$A$2:$A$14,MIN(MATCH(C71,BSR_Table!$A$2:$A$14,1),12)+1))-LN(INDEX(BSR_Table!$A$2:$A$14,MIN(MATCH(C71,BSR_Table!$A$2:$A$14,1),12)))))</f>
        <v>2.45168146198262</v>
      </c>
      <c r="G71" s="24" t="n">
        <f aca="false">F71*Sales_Estimates!$B$6*D71</f>
        <v>219.915827139841</v>
      </c>
      <c r="H71" s="23" t="n">
        <f aca="false">G71/E71</f>
        <v>2.64958827879327</v>
      </c>
      <c r="I71" s="6" t="s">
        <v>119</v>
      </c>
    </row>
    <row r="72" customFormat="false" ht="46.25" hidden="false" customHeight="false" outlineLevel="0" collapsed="false">
      <c r="A72" s="6" t="s">
        <v>59</v>
      </c>
      <c r="B72" s="3" t="s">
        <v>1552</v>
      </c>
      <c r="C72" s="12" t="n">
        <v>71318</v>
      </c>
      <c r="D72" s="28" t="n">
        <v>4.99</v>
      </c>
      <c r="E72" s="36" t="n">
        <v>139</v>
      </c>
      <c r="F72" s="10" t="n">
        <f aca="false">EXP(LN(INDEX(BSR_Table!$B$2:$B$14,MIN(MATCH(C72,BSR_Table!$A$2:$A$14,1),12)))+(LN(C72)-LN(INDEX(BSR_Table!$A$2:$A$14,MIN(MATCH(C72,BSR_Table!$A$2:$A$14,1),12))))*(LN(INDEX(BSR_Table!$B$2:$B$14,MIN(MATCH(C72,BSR_Table!$A$2:$A$14,1),12)+1))-LN(INDEX(BSR_Table!$B$2:$B$14,MIN(MATCH(C72,BSR_Table!$A$2:$A$14,1),12))))/(LN(INDEX(BSR_Table!$A$2:$A$14,MIN(MATCH(C72,BSR_Table!$A$2:$A$14,1),12)+1))-LN(INDEX(BSR_Table!$A$2:$A$14,MIN(MATCH(C72,BSR_Table!$A$2:$A$14,1),12)))))</f>
        <v>2.42002559273745</v>
      </c>
      <c r="G72" s="24" t="n">
        <f aca="false">F72*Sales_Estimates!$B$6*D72</f>
        <v>362.277831232796</v>
      </c>
      <c r="H72" s="23" t="n">
        <f aca="false">G72/E72</f>
        <v>2.60631533261004</v>
      </c>
      <c r="I72" s="6" t="s">
        <v>127</v>
      </c>
    </row>
    <row r="73" customFormat="false" ht="15" hidden="false" customHeight="false" outlineLevel="0" collapsed="false">
      <c r="A73" s="6" t="s">
        <v>59</v>
      </c>
      <c r="B73" s="3" t="s">
        <v>1553</v>
      </c>
      <c r="C73" s="12" t="n">
        <v>74684</v>
      </c>
      <c r="D73" s="28" t="n">
        <v>0.99</v>
      </c>
      <c r="E73" s="36" t="n">
        <v>27</v>
      </c>
      <c r="F73" s="10" t="n">
        <f aca="false">EXP(LN(INDEX(BSR_Table!$B$2:$B$14,MIN(MATCH(C73,BSR_Table!$A$2:$A$14,1),12)))+(LN(C73)-LN(INDEX(BSR_Table!$A$2:$A$14,MIN(MATCH(C73,BSR_Table!$A$2:$A$14,1),12))))*(LN(INDEX(BSR_Table!$B$2:$B$14,MIN(MATCH(C73,BSR_Table!$A$2:$A$14,1),12)+1))-LN(INDEX(BSR_Table!$B$2:$B$14,MIN(MATCH(C73,BSR_Table!$A$2:$A$14,1),12))))/(LN(INDEX(BSR_Table!$A$2:$A$14,MIN(MATCH(C73,BSR_Table!$A$2:$A$14,1),12)+1))-LN(INDEX(BSR_Table!$A$2:$A$14,MIN(MATCH(C73,BSR_Table!$A$2:$A$14,1),12)))))</f>
        <v>2.26714345355666</v>
      </c>
      <c r="G73" s="24" t="n">
        <f aca="false">F73*Sales_Estimates!$B$6*D73</f>
        <v>67.3341605706329</v>
      </c>
      <c r="H73" s="23" t="n">
        <f aca="false">G73/E73</f>
        <v>2.49385779891233</v>
      </c>
      <c r="I73" s="6" t="s">
        <v>119</v>
      </c>
    </row>
    <row r="74" customFormat="false" ht="23.85" hidden="false" customHeight="false" outlineLevel="0" collapsed="false">
      <c r="A74" s="6" t="s">
        <v>59</v>
      </c>
      <c r="B74" s="3" t="s">
        <v>1554</v>
      </c>
      <c r="C74" s="12" t="n">
        <v>98363</v>
      </c>
      <c r="D74" s="28" t="n">
        <v>12.99</v>
      </c>
      <c r="E74" s="36" t="n">
        <v>363</v>
      </c>
      <c r="F74" s="10" t="n">
        <f aca="false">EXP(LN(INDEX(BSR_Table!$B$2:$B$14,MIN(MATCH(C74,BSR_Table!$A$2:$A$14,1),12)))+(LN(C74)-LN(INDEX(BSR_Table!$A$2:$A$14,MIN(MATCH(C74,BSR_Table!$A$2:$A$14,1),12))))*(LN(INDEX(BSR_Table!$B$2:$B$14,MIN(MATCH(C74,BSR_Table!$A$2:$A$14,1),12)+1))-LN(INDEX(BSR_Table!$B$2:$B$14,MIN(MATCH(C74,BSR_Table!$A$2:$A$14,1),12))))/(LN(INDEX(BSR_Table!$A$2:$A$14,MIN(MATCH(C74,BSR_Table!$A$2:$A$14,1),12)+1))-LN(INDEX(BSR_Table!$A$2:$A$14,MIN(MATCH(C74,BSR_Table!$A$2:$A$14,1),12)))))</f>
        <v>1.53544611203381</v>
      </c>
      <c r="G74" s="24" t="n">
        <f aca="false">F74*Sales_Estimates!$B$6*D74</f>
        <v>598.363349859575</v>
      </c>
      <c r="H74" s="23" t="n">
        <f aca="false">G74/E74</f>
        <v>1.64838388391068</v>
      </c>
      <c r="I74" s="6" t="s">
        <v>119</v>
      </c>
    </row>
    <row r="75" customFormat="false" ht="46.25" hidden="false" customHeight="false" outlineLevel="0" collapsed="false">
      <c r="A75" s="6" t="s">
        <v>59</v>
      </c>
      <c r="B75" s="3" t="s">
        <v>1555</v>
      </c>
      <c r="C75" s="12" t="n">
        <v>104302</v>
      </c>
      <c r="D75" s="28" t="n">
        <v>5.99</v>
      </c>
      <c r="E75" s="36" t="n">
        <v>167</v>
      </c>
      <c r="F75" s="10" t="n">
        <f aca="false">EXP(LN(INDEX(BSR_Table!$B$2:$B$14,MIN(MATCH(C75,BSR_Table!$A$2:$A$14,1),12)))+(LN(C75)-LN(INDEX(BSR_Table!$A$2:$A$14,MIN(MATCH(C75,BSR_Table!$A$2:$A$14,1),12))))*(LN(INDEX(BSR_Table!$B$2:$B$14,MIN(MATCH(C75,BSR_Table!$A$2:$A$14,1),12)+1))-LN(INDEX(BSR_Table!$B$2:$B$14,MIN(MATCH(C75,BSR_Table!$A$2:$A$14,1),12))))/(LN(INDEX(BSR_Table!$A$2:$A$14,MIN(MATCH(C75,BSR_Table!$A$2:$A$14,1),12)+1))-LN(INDEX(BSR_Table!$A$2:$A$14,MIN(MATCH(C75,BSR_Table!$A$2:$A$14,1),12)))))</f>
        <v>1.41876252779308</v>
      </c>
      <c r="G75" s="24" t="n">
        <f aca="false">F75*Sales_Estimates!$B$6*D75</f>
        <v>254.951626244417</v>
      </c>
      <c r="H75" s="23" t="n">
        <f aca="false">G75/E75</f>
        <v>1.52665644457735</v>
      </c>
      <c r="I75" s="6" t="s">
        <v>127</v>
      </c>
    </row>
    <row r="76" customFormat="false" ht="46.25" hidden="false" customHeight="false" outlineLevel="0" collapsed="false">
      <c r="A76" s="6" t="s">
        <v>59</v>
      </c>
      <c r="B76" s="3" t="s">
        <v>1556</v>
      </c>
      <c r="C76" s="12" t="n">
        <v>104782</v>
      </c>
      <c r="D76" s="28" t="n">
        <v>2.99</v>
      </c>
      <c r="E76" s="36" t="n">
        <v>83</v>
      </c>
      <c r="F76" s="10" t="n">
        <f aca="false">EXP(LN(INDEX(BSR_Table!$B$2:$B$14,MIN(MATCH(C76,BSR_Table!$A$2:$A$14,1),12)))+(LN(C76)-LN(INDEX(BSR_Table!$A$2:$A$14,MIN(MATCH(C76,BSR_Table!$A$2:$A$14,1),12))))*(LN(INDEX(BSR_Table!$B$2:$B$14,MIN(MATCH(C76,BSR_Table!$A$2:$A$14,1),12)+1))-LN(INDEX(BSR_Table!$B$2:$B$14,MIN(MATCH(C76,BSR_Table!$A$2:$A$14,1),12))))/(LN(INDEX(BSR_Table!$A$2:$A$14,MIN(MATCH(C76,BSR_Table!$A$2:$A$14,1),12)+1))-LN(INDEX(BSR_Table!$A$2:$A$14,MIN(MATCH(C76,BSR_Table!$A$2:$A$14,1),12)))))</f>
        <v>1.4101773081409</v>
      </c>
      <c r="G76" s="24" t="n">
        <f aca="false">F76*Sales_Estimates!$B$6*D76</f>
        <v>126.492904540238</v>
      </c>
      <c r="H76" s="23" t="n">
        <f aca="false">G76/E76</f>
        <v>1.52401089807516</v>
      </c>
      <c r="I76" s="6" t="s">
        <v>127</v>
      </c>
    </row>
    <row r="77" customFormat="false" ht="23.85" hidden="false" customHeight="false" outlineLevel="0" collapsed="false">
      <c r="A77" s="6" t="s">
        <v>59</v>
      </c>
      <c r="B77" s="3" t="s">
        <v>656</v>
      </c>
      <c r="C77" s="12" t="n">
        <v>117651</v>
      </c>
      <c r="D77" s="28" t="n">
        <v>2.99</v>
      </c>
      <c r="E77" s="36" t="n">
        <v>83</v>
      </c>
      <c r="F77" s="10" t="n">
        <f aca="false">EXP(LN(INDEX(BSR_Table!$B$2:$B$14,MIN(MATCH(C77,BSR_Table!$A$2:$A$14,1),12)))+(LN(C77)-LN(INDEX(BSR_Table!$A$2:$A$14,MIN(MATCH(C77,BSR_Table!$A$2:$A$14,1),12))))*(LN(INDEX(BSR_Table!$B$2:$B$14,MIN(MATCH(C77,BSR_Table!$A$2:$A$14,1),12)+1))-LN(INDEX(BSR_Table!$B$2:$B$14,MIN(MATCH(C77,BSR_Table!$A$2:$A$14,1),12))))/(LN(INDEX(BSR_Table!$A$2:$A$14,MIN(MATCH(C77,BSR_Table!$A$2:$A$14,1),12)+1))-LN(INDEX(BSR_Table!$A$2:$A$14,MIN(MATCH(C77,BSR_Table!$A$2:$A$14,1),12)))))</f>
        <v>1.20995417308095</v>
      </c>
      <c r="G77" s="24" t="n">
        <f aca="false">F77*Sales_Estimates!$B$6*D77</f>
        <v>108.532889325361</v>
      </c>
      <c r="H77" s="23" t="n">
        <f aca="false">G77/E77</f>
        <v>1.30762517259471</v>
      </c>
      <c r="I77" s="6" t="s">
        <v>127</v>
      </c>
    </row>
    <row r="78" customFormat="false" ht="46.25" hidden="false" customHeight="false" outlineLevel="0" collapsed="false">
      <c r="A78" s="6" t="s">
        <v>59</v>
      </c>
      <c r="B78" s="3" t="s">
        <v>1557</v>
      </c>
      <c r="C78" s="12" t="n">
        <v>119115</v>
      </c>
      <c r="D78" s="28" t="n">
        <v>0.99</v>
      </c>
      <c r="E78" s="36" t="n">
        <v>27</v>
      </c>
      <c r="F78" s="10" t="n">
        <f aca="false">EXP(LN(INDEX(BSR_Table!$B$2:$B$14,MIN(MATCH(C78,BSR_Table!$A$2:$A$14,1),12)))+(LN(C78)-LN(INDEX(BSR_Table!$A$2:$A$14,MIN(MATCH(C78,BSR_Table!$A$2:$A$14,1),12))))*(LN(INDEX(BSR_Table!$B$2:$B$14,MIN(MATCH(C78,BSR_Table!$A$2:$A$14,1),12)+1))-LN(INDEX(BSR_Table!$B$2:$B$14,MIN(MATCH(C78,BSR_Table!$A$2:$A$14,1),12))))/(LN(INDEX(BSR_Table!$A$2:$A$14,MIN(MATCH(C78,BSR_Table!$A$2:$A$14,1),12)+1))-LN(INDEX(BSR_Table!$A$2:$A$14,MIN(MATCH(C78,BSR_Table!$A$2:$A$14,1),12)))))</f>
        <v>1.19033462796525</v>
      </c>
      <c r="G78" s="24" t="n">
        <f aca="false">F78*Sales_Estimates!$B$6*D78</f>
        <v>35.352938450568</v>
      </c>
      <c r="H78" s="23" t="n">
        <f aca="false">G78/E78</f>
        <v>1.30936809076178</v>
      </c>
      <c r="I78" s="6" t="s">
        <v>127</v>
      </c>
    </row>
    <row r="79" customFormat="false" ht="46.25" hidden="false" customHeight="false" outlineLevel="0" collapsed="false">
      <c r="A79" s="6" t="s">
        <v>65</v>
      </c>
      <c r="B79" s="3" t="s">
        <v>1558</v>
      </c>
      <c r="C79" s="12" t="n">
        <v>3600</v>
      </c>
      <c r="D79" s="28" t="n">
        <v>1.99</v>
      </c>
      <c r="E79" s="36" t="n">
        <v>1838</v>
      </c>
      <c r="F79" s="10" t="n">
        <f aca="false">EXP(LN(INDEX(BSR_Table!$B$2:$B$14,MIN(MATCH(C79,BSR_Table!$A$2:$A$14,1),12)))+(LN(C79)-LN(INDEX(BSR_Table!$A$2:$A$14,MIN(MATCH(C79,BSR_Table!$A$2:$A$14,1),12))))*(LN(INDEX(BSR_Table!$B$2:$B$14,MIN(MATCH(C79,BSR_Table!$A$2:$A$14,1),12)+1))-LN(INDEX(BSR_Table!$B$2:$B$14,MIN(MATCH(C79,BSR_Table!$A$2:$A$14,1),12))))/(LN(INDEX(BSR_Table!$A$2:$A$14,MIN(MATCH(C79,BSR_Table!$A$2:$A$14,1),12)+1))-LN(INDEX(BSR_Table!$A$2:$A$14,MIN(MATCH(C79,BSR_Table!$A$2:$A$14,1),12)))))</f>
        <v>39.5829169408892</v>
      </c>
      <c r="G79" s="24" t="n">
        <f aca="false">F79*Sales_Estimates!$B$6*D79</f>
        <v>2363.10014137108</v>
      </c>
      <c r="H79" s="23" t="n">
        <f aca="false">G79/E79</f>
        <v>1.28569104535968</v>
      </c>
      <c r="I79" s="6" t="s">
        <v>127</v>
      </c>
    </row>
    <row r="80" customFormat="false" ht="35.05" hidden="false" customHeight="false" outlineLevel="0" collapsed="false">
      <c r="A80" s="6" t="s">
        <v>65</v>
      </c>
      <c r="B80" s="3" t="s">
        <v>823</v>
      </c>
      <c r="C80" s="12" t="n">
        <v>5800</v>
      </c>
      <c r="D80" s="28" t="n">
        <v>14.99</v>
      </c>
      <c r="E80" s="36" t="n">
        <v>6295</v>
      </c>
      <c r="F80" s="10" t="n">
        <f aca="false">EXP(LN(INDEX(BSR_Table!$B$2:$B$14,MIN(MATCH(C80,BSR_Table!$A$2:$A$14,1),12)))+(LN(C80)-LN(INDEX(BSR_Table!$A$2:$A$14,MIN(MATCH(C80,BSR_Table!$A$2:$A$14,1),12))))*(LN(INDEX(BSR_Table!$B$2:$B$14,MIN(MATCH(C80,BSR_Table!$A$2:$A$14,1),12)+1))-LN(INDEX(BSR_Table!$B$2:$B$14,MIN(MATCH(C80,BSR_Table!$A$2:$A$14,1),12))))/(LN(INDEX(BSR_Table!$A$2:$A$14,MIN(MATCH(C80,BSR_Table!$A$2:$A$14,1),12)+1))-LN(INDEX(BSR_Table!$A$2:$A$14,MIN(MATCH(C80,BSR_Table!$A$2:$A$14,1),12)))))</f>
        <v>27.5052595929668</v>
      </c>
      <c r="G80" s="24" t="n">
        <f aca="false">F80*Sales_Estimates!$B$6*D80</f>
        <v>12369.1152389572</v>
      </c>
      <c r="H80" s="23" t="n">
        <f aca="false">G80/E80</f>
        <v>1.96491107846817</v>
      </c>
      <c r="I80" s="6" t="s">
        <v>127</v>
      </c>
    </row>
    <row r="81" customFormat="false" ht="35.05" hidden="false" customHeight="false" outlineLevel="0" collapsed="false">
      <c r="A81" s="6" t="s">
        <v>65</v>
      </c>
      <c r="B81" s="3" t="s">
        <v>1559</v>
      </c>
      <c r="C81" s="12" t="n">
        <v>6142</v>
      </c>
      <c r="D81" s="28" t="n">
        <v>14.99</v>
      </c>
      <c r="E81" s="36" t="n">
        <v>6295</v>
      </c>
      <c r="F81" s="10" t="n">
        <f aca="false">EXP(LN(INDEX(BSR_Table!$B$2:$B$14,MIN(MATCH(C81,BSR_Table!$A$2:$A$14,1),12)))+(LN(C81)-LN(INDEX(BSR_Table!$A$2:$A$14,MIN(MATCH(C81,BSR_Table!$A$2:$A$14,1),12))))*(LN(INDEX(BSR_Table!$B$2:$B$14,MIN(MATCH(C81,BSR_Table!$A$2:$A$14,1),12)+1))-LN(INDEX(BSR_Table!$B$2:$B$14,MIN(MATCH(C81,BSR_Table!$A$2:$A$14,1),12))))/(LN(INDEX(BSR_Table!$A$2:$A$14,MIN(MATCH(C81,BSR_Table!$A$2:$A$14,1),12)+1))-LN(INDEX(BSR_Table!$A$2:$A$14,MIN(MATCH(C81,BSR_Table!$A$2:$A$14,1),12)))))</f>
        <v>26.5987248754629</v>
      </c>
      <c r="G81" s="24" t="n">
        <f aca="false">F81*Sales_Estimates!$B$6*D81</f>
        <v>11961.4465764957</v>
      </c>
      <c r="H81" s="23" t="n">
        <f aca="false">G81/E81</f>
        <v>1.90015036957834</v>
      </c>
      <c r="I81" s="6" t="s">
        <v>119</v>
      </c>
    </row>
    <row r="82" customFormat="false" ht="23.85" hidden="false" customHeight="false" outlineLevel="0" collapsed="false">
      <c r="A82" s="6" t="s">
        <v>65</v>
      </c>
      <c r="B82" s="3" t="s">
        <v>1560</v>
      </c>
      <c r="C82" s="12" t="n">
        <v>7460</v>
      </c>
      <c r="D82" s="28" t="n">
        <v>16.99</v>
      </c>
      <c r="E82" s="36" t="n">
        <v>6184</v>
      </c>
      <c r="F82" s="10" t="n">
        <f aca="false">EXP(LN(INDEX(BSR_Table!$B$2:$B$14,MIN(MATCH(C82,BSR_Table!$A$2:$A$14,1),12)))+(LN(C82)-LN(INDEX(BSR_Table!$A$2:$A$14,MIN(MATCH(C82,BSR_Table!$A$2:$A$14,1),12))))*(LN(INDEX(BSR_Table!$B$2:$B$14,MIN(MATCH(C82,BSR_Table!$A$2:$A$14,1),12)+1))-LN(INDEX(BSR_Table!$B$2:$B$14,MIN(MATCH(C82,BSR_Table!$A$2:$A$14,1),12))))/(LN(INDEX(BSR_Table!$A$2:$A$14,MIN(MATCH(C82,BSR_Table!$A$2:$A$14,1),12)+1))-LN(INDEX(BSR_Table!$A$2:$A$14,MIN(MATCH(C82,BSR_Table!$A$2:$A$14,1),12)))))</f>
        <v>23.7395788099902</v>
      </c>
      <c r="G82" s="24" t="n">
        <f aca="false">F82*Sales_Estimates!$B$6*D82</f>
        <v>12100.063319452</v>
      </c>
      <c r="H82" s="23" t="n">
        <f aca="false">G82/E82</f>
        <v>1.95667259370181</v>
      </c>
      <c r="I82" s="6" t="s">
        <v>127</v>
      </c>
    </row>
    <row r="83" customFormat="false" ht="35.05" hidden="false" customHeight="false" outlineLevel="0" collapsed="false">
      <c r="A83" s="6" t="s">
        <v>65</v>
      </c>
      <c r="B83" s="3" t="s">
        <v>1561</v>
      </c>
      <c r="C83" s="12" t="n">
        <v>9400</v>
      </c>
      <c r="D83" s="28" t="n">
        <v>9.99</v>
      </c>
      <c r="E83" s="36" t="n">
        <v>3356</v>
      </c>
      <c r="F83" s="10" t="n">
        <f aca="false">EXP(LN(INDEX(BSR_Table!$B$2:$B$14,MIN(MATCH(C83,BSR_Table!$A$2:$A$14,1),12)))+(LN(C83)-LN(INDEX(BSR_Table!$A$2:$A$14,MIN(MATCH(C83,BSR_Table!$A$2:$A$14,1),12))))*(LN(INDEX(BSR_Table!$B$2:$B$14,MIN(MATCH(C83,BSR_Table!$A$2:$A$14,1),12)+1))-LN(INDEX(BSR_Table!$B$2:$B$14,MIN(MATCH(C83,BSR_Table!$A$2:$A$14,1),12))))/(LN(INDEX(BSR_Table!$A$2:$A$14,MIN(MATCH(C83,BSR_Table!$A$2:$A$14,1),12)+1))-LN(INDEX(BSR_Table!$A$2:$A$14,MIN(MATCH(C83,BSR_Table!$A$2:$A$14,1),12)))))</f>
        <v>20.7371559455295</v>
      </c>
      <c r="G83" s="24" t="n">
        <f aca="false">F83*Sales_Estimates!$B$6*D83</f>
        <v>6214.92563687518</v>
      </c>
      <c r="H83" s="23" t="n">
        <f aca="false">G83/E83</f>
        <v>1.8518848739199</v>
      </c>
      <c r="I83" s="6" t="s">
        <v>127</v>
      </c>
    </row>
    <row r="84" customFormat="false" ht="35.05" hidden="false" customHeight="false" outlineLevel="0" collapsed="false">
      <c r="A84" s="6" t="s">
        <v>65</v>
      </c>
      <c r="B84" s="3" t="s">
        <v>1562</v>
      </c>
      <c r="C84" s="12" t="n">
        <v>12379</v>
      </c>
      <c r="D84" s="28" t="n">
        <v>12.99</v>
      </c>
      <c r="E84" s="36" t="n">
        <v>3637</v>
      </c>
      <c r="F84" s="10" t="n">
        <f aca="false">EXP(LN(INDEX(BSR_Table!$B$2:$B$14,MIN(MATCH(C84,BSR_Table!$A$2:$A$14,1),12)))+(LN(C84)-LN(INDEX(BSR_Table!$A$2:$A$14,MIN(MATCH(C84,BSR_Table!$A$2:$A$14,1),12))))*(LN(INDEX(BSR_Table!$B$2:$B$14,MIN(MATCH(C84,BSR_Table!$A$2:$A$14,1),12)+1))-LN(INDEX(BSR_Table!$B$2:$B$14,MIN(MATCH(C84,BSR_Table!$A$2:$A$14,1),12))))/(LN(INDEX(BSR_Table!$A$2:$A$14,MIN(MATCH(C84,BSR_Table!$A$2:$A$14,1),12)+1))-LN(INDEX(BSR_Table!$A$2:$A$14,MIN(MATCH(C84,BSR_Table!$A$2:$A$14,1),12)))))</f>
        <v>16.1563938928831</v>
      </c>
      <c r="G84" s="24" t="n">
        <f aca="false">F84*Sales_Estimates!$B$6*D84</f>
        <v>6296.14670005655</v>
      </c>
      <c r="H84" s="23" t="n">
        <f aca="false">G84/E84</f>
        <v>1.73113739347169</v>
      </c>
      <c r="I84" s="6" t="s">
        <v>127</v>
      </c>
    </row>
    <row r="85" customFormat="false" ht="23.85" hidden="false" customHeight="false" outlineLevel="0" collapsed="false">
      <c r="A85" s="6" t="s">
        <v>65</v>
      </c>
      <c r="B85" s="3" t="s">
        <v>1563</v>
      </c>
      <c r="C85" s="12" t="n">
        <v>12649</v>
      </c>
      <c r="D85" s="28" t="n">
        <v>16.99</v>
      </c>
      <c r="E85" s="36" t="n">
        <v>4757</v>
      </c>
      <c r="F85" s="10" t="n">
        <f aca="false">EXP(LN(INDEX(BSR_Table!$B$2:$B$14,MIN(MATCH(C85,BSR_Table!$A$2:$A$14,1),12)))+(LN(C85)-LN(INDEX(BSR_Table!$A$2:$A$14,MIN(MATCH(C85,BSR_Table!$A$2:$A$14,1),12))))*(LN(INDEX(BSR_Table!$B$2:$B$14,MIN(MATCH(C85,BSR_Table!$A$2:$A$14,1),12)+1))-LN(INDEX(BSR_Table!$B$2:$B$14,MIN(MATCH(C85,BSR_Table!$A$2:$A$14,1),12))))/(LN(INDEX(BSR_Table!$A$2:$A$14,MIN(MATCH(C85,BSR_Table!$A$2:$A$14,1),12)+1))-LN(INDEX(BSR_Table!$A$2:$A$14,MIN(MATCH(C85,BSR_Table!$A$2:$A$14,1),12)))))</f>
        <v>15.8115266028935</v>
      </c>
      <c r="G85" s="24" t="n">
        <f aca="false">F85*Sales_Estimates!$B$6*D85</f>
        <v>8059.13510949483</v>
      </c>
      <c r="H85" s="23" t="n">
        <f aca="false">G85/E85</f>
        <v>1.69416336125601</v>
      </c>
      <c r="I85" s="6" t="s">
        <v>119</v>
      </c>
    </row>
    <row r="86" customFormat="false" ht="23.85" hidden="false" customHeight="false" outlineLevel="0" collapsed="false">
      <c r="A86" s="6" t="s">
        <v>65</v>
      </c>
      <c r="B86" s="3" t="s">
        <v>1564</v>
      </c>
      <c r="C86" s="12" t="n">
        <v>13559</v>
      </c>
      <c r="D86" s="28" t="n">
        <v>14.99</v>
      </c>
      <c r="E86" s="36" t="n">
        <v>4197</v>
      </c>
      <c r="F86" s="10" t="n">
        <f aca="false">EXP(LN(INDEX(BSR_Table!$B$2:$B$14,MIN(MATCH(C86,BSR_Table!$A$2:$A$14,1),12)))+(LN(C86)-LN(INDEX(BSR_Table!$A$2:$A$14,MIN(MATCH(C86,BSR_Table!$A$2:$A$14,1),12))))*(LN(INDEX(BSR_Table!$B$2:$B$14,MIN(MATCH(C86,BSR_Table!$A$2:$A$14,1),12)+1))-LN(INDEX(BSR_Table!$B$2:$B$14,MIN(MATCH(C86,BSR_Table!$A$2:$A$14,1),12))))/(LN(INDEX(BSR_Table!$A$2:$A$14,MIN(MATCH(C86,BSR_Table!$A$2:$A$14,1),12)+1))-LN(INDEX(BSR_Table!$A$2:$A$14,MIN(MATCH(C86,BSR_Table!$A$2:$A$14,1),12)))))</f>
        <v>14.7503503208201</v>
      </c>
      <c r="G86" s="24" t="n">
        <f aca="false">F86*Sales_Estimates!$B$6*D86</f>
        <v>6633.23253927281</v>
      </c>
      <c r="H86" s="23" t="n">
        <f aca="false">G86/E86</f>
        <v>1.58046998791346</v>
      </c>
      <c r="I86" s="6" t="s">
        <v>119</v>
      </c>
    </row>
    <row r="87" customFormat="false" ht="46.25" hidden="false" customHeight="false" outlineLevel="0" collapsed="false">
      <c r="A87" s="6" t="s">
        <v>65</v>
      </c>
      <c r="B87" s="3" t="s">
        <v>1565</v>
      </c>
      <c r="C87" s="12" t="n">
        <v>14343</v>
      </c>
      <c r="D87" s="28" t="n">
        <v>9.99</v>
      </c>
      <c r="E87" s="36" t="n">
        <v>2797</v>
      </c>
      <c r="F87" s="10" t="n">
        <f aca="false">EXP(LN(INDEX(BSR_Table!$B$2:$B$14,MIN(MATCH(C87,BSR_Table!$A$2:$A$14,1),12)))+(LN(C87)-LN(INDEX(BSR_Table!$A$2:$A$14,MIN(MATCH(C87,BSR_Table!$A$2:$A$14,1),12))))*(LN(INDEX(BSR_Table!$B$2:$B$14,MIN(MATCH(C87,BSR_Table!$A$2:$A$14,1),12)+1))-LN(INDEX(BSR_Table!$B$2:$B$14,MIN(MATCH(C87,BSR_Table!$A$2:$A$14,1),12))))/(LN(INDEX(BSR_Table!$A$2:$A$14,MIN(MATCH(C87,BSR_Table!$A$2:$A$14,1),12)+1))-LN(INDEX(BSR_Table!$A$2:$A$14,MIN(MATCH(C87,BSR_Table!$A$2:$A$14,1),12)))))</f>
        <v>13.9440842222687</v>
      </c>
      <c r="G87" s="24" t="n">
        <f aca="false">F87*Sales_Estimates!$B$6*D87</f>
        <v>4179.04204141393</v>
      </c>
      <c r="H87" s="23" t="n">
        <f aca="false">G87/E87</f>
        <v>1.49411585320484</v>
      </c>
      <c r="I87" s="6" t="s">
        <v>127</v>
      </c>
    </row>
    <row r="88" customFormat="false" ht="23.85" hidden="false" customHeight="false" outlineLevel="0" collapsed="false">
      <c r="A88" s="6" t="s">
        <v>65</v>
      </c>
      <c r="B88" s="3" t="s">
        <v>883</v>
      </c>
      <c r="C88" s="12" t="n">
        <v>14933</v>
      </c>
      <c r="D88" s="28" t="n">
        <v>17.99</v>
      </c>
      <c r="E88" s="36" t="n">
        <v>4533</v>
      </c>
      <c r="F88" s="10" t="n">
        <f aca="false">EXP(LN(INDEX(BSR_Table!$B$2:$B$14,MIN(MATCH(C88,BSR_Table!$A$2:$A$14,1),12)))+(LN(C88)-LN(INDEX(BSR_Table!$A$2:$A$14,MIN(MATCH(C88,BSR_Table!$A$2:$A$14,1),12))))*(LN(INDEX(BSR_Table!$B$2:$B$14,MIN(MATCH(C88,BSR_Table!$A$2:$A$14,1),12)+1))-LN(INDEX(BSR_Table!$B$2:$B$14,MIN(MATCH(C88,BSR_Table!$A$2:$A$14,1),12))))/(LN(INDEX(BSR_Table!$A$2:$A$14,MIN(MATCH(C88,BSR_Table!$A$2:$A$14,1),12)+1))-LN(INDEX(BSR_Table!$A$2:$A$14,MIN(MATCH(C88,BSR_Table!$A$2:$A$14,1),12)))))</f>
        <v>13.3931560972343</v>
      </c>
      <c r="G88" s="24" t="n">
        <f aca="false">F88*Sales_Estimates!$B$6*D88</f>
        <v>7228.28634567735</v>
      </c>
      <c r="H88" s="23" t="n">
        <f aca="false">G88/E88</f>
        <v>1.59459217861843</v>
      </c>
      <c r="I88" s="6" t="s">
        <v>119</v>
      </c>
    </row>
    <row r="89" customFormat="false" ht="35.05" hidden="false" customHeight="false" outlineLevel="0" collapsed="false">
      <c r="A89" s="6" t="s">
        <v>65</v>
      </c>
      <c r="B89" s="3" t="s">
        <v>1566</v>
      </c>
      <c r="C89" s="12" t="n">
        <v>16627</v>
      </c>
      <c r="D89" s="28" t="n">
        <v>14.99</v>
      </c>
      <c r="E89" s="36" t="n">
        <v>3777</v>
      </c>
      <c r="F89" s="10" t="n">
        <f aca="false">EXP(LN(INDEX(BSR_Table!$B$2:$B$14,MIN(MATCH(C89,BSR_Table!$A$2:$A$14,1),12)))+(LN(C89)-LN(INDEX(BSR_Table!$A$2:$A$14,MIN(MATCH(C89,BSR_Table!$A$2:$A$14,1),12))))*(LN(INDEX(BSR_Table!$B$2:$B$14,MIN(MATCH(C89,BSR_Table!$A$2:$A$14,1),12)+1))-LN(INDEX(BSR_Table!$B$2:$B$14,MIN(MATCH(C89,BSR_Table!$A$2:$A$14,1),12))))/(LN(INDEX(BSR_Table!$A$2:$A$14,MIN(MATCH(C89,BSR_Table!$A$2:$A$14,1),12)+1))-LN(INDEX(BSR_Table!$A$2:$A$14,MIN(MATCH(C89,BSR_Table!$A$2:$A$14,1),12)))))</f>
        <v>12.0286281349612</v>
      </c>
      <c r="G89" s="24" t="n">
        <f aca="false">F89*Sales_Estimates!$B$6*D89</f>
        <v>5409.27407229206</v>
      </c>
      <c r="H89" s="23" t="n">
        <f aca="false">G89/E89</f>
        <v>1.4321615229791</v>
      </c>
      <c r="I89" s="6" t="s">
        <v>119</v>
      </c>
    </row>
    <row r="90" customFormat="false" ht="46.25" hidden="false" customHeight="false" outlineLevel="0" collapsed="false">
      <c r="A90" s="6" t="s">
        <v>65</v>
      </c>
      <c r="B90" s="3" t="s">
        <v>1567</v>
      </c>
      <c r="C90" s="12" t="n">
        <v>16843</v>
      </c>
      <c r="D90" s="28" t="n">
        <v>4.98</v>
      </c>
      <c r="E90" s="36" t="n">
        <v>1254</v>
      </c>
      <c r="F90" s="10" t="n">
        <f aca="false">EXP(LN(INDEX(BSR_Table!$B$2:$B$14,MIN(MATCH(C90,BSR_Table!$A$2:$A$14,1),12)))+(LN(C90)-LN(INDEX(BSR_Table!$A$2:$A$14,MIN(MATCH(C90,BSR_Table!$A$2:$A$14,1),12))))*(LN(INDEX(BSR_Table!$B$2:$B$14,MIN(MATCH(C90,BSR_Table!$A$2:$A$14,1),12)+1))-LN(INDEX(BSR_Table!$B$2:$B$14,MIN(MATCH(C90,BSR_Table!$A$2:$A$14,1),12))))/(LN(INDEX(BSR_Table!$A$2:$A$14,MIN(MATCH(C90,BSR_Table!$A$2:$A$14,1),12)+1))-LN(INDEX(BSR_Table!$A$2:$A$14,MIN(MATCH(C90,BSR_Table!$A$2:$A$14,1),12)))))</f>
        <v>11.8743691741376</v>
      </c>
      <c r="G90" s="24" t="n">
        <f aca="false">F90*Sales_Estimates!$B$6*D90</f>
        <v>1774.03075461616</v>
      </c>
      <c r="H90" s="23" t="n">
        <f aca="false">G90/E90</f>
        <v>1.41469757146424</v>
      </c>
      <c r="I90" s="6" t="s">
        <v>127</v>
      </c>
    </row>
    <row r="91" customFormat="false" ht="23.85" hidden="false" customHeight="false" outlineLevel="0" collapsed="false">
      <c r="A91" s="6" t="s">
        <v>65</v>
      </c>
      <c r="B91" s="3" t="s">
        <v>1568</v>
      </c>
      <c r="C91" s="12" t="n">
        <v>18570</v>
      </c>
      <c r="D91" s="28" t="n">
        <v>15.99</v>
      </c>
      <c r="E91" s="36" t="n">
        <v>3581</v>
      </c>
      <c r="F91" s="10" t="n">
        <f aca="false">EXP(LN(INDEX(BSR_Table!$B$2:$B$14,MIN(MATCH(C91,BSR_Table!$A$2:$A$14,1),12)))+(LN(C91)-LN(INDEX(BSR_Table!$A$2:$A$14,MIN(MATCH(C91,BSR_Table!$A$2:$A$14,1),12))))*(LN(INDEX(BSR_Table!$B$2:$B$14,MIN(MATCH(C91,BSR_Table!$A$2:$A$14,1),12)+1))-LN(INDEX(BSR_Table!$B$2:$B$14,MIN(MATCH(C91,BSR_Table!$A$2:$A$14,1),12))))/(LN(INDEX(BSR_Table!$A$2:$A$14,MIN(MATCH(C91,BSR_Table!$A$2:$A$14,1),12)+1))-LN(INDEX(BSR_Table!$A$2:$A$14,MIN(MATCH(C91,BSR_Table!$A$2:$A$14,1),12)))))</f>
        <v>10.7700592353258</v>
      </c>
      <c r="G91" s="24" t="n">
        <f aca="false">F91*Sales_Estimates!$B$6*D91</f>
        <v>5166.39741518578</v>
      </c>
      <c r="H91" s="23" t="n">
        <f aca="false">G91/E91</f>
        <v>1.44272477385808</v>
      </c>
      <c r="I91" s="6" t="s">
        <v>119</v>
      </c>
    </row>
    <row r="92" customFormat="false" ht="23.85" hidden="false" customHeight="false" outlineLevel="0" collapsed="false">
      <c r="A92" s="6" t="s">
        <v>65</v>
      </c>
      <c r="B92" s="3" t="s">
        <v>1569</v>
      </c>
      <c r="C92" s="12" t="n">
        <v>19045</v>
      </c>
      <c r="D92" s="28" t="n">
        <v>12.99</v>
      </c>
      <c r="E92" s="36" t="n">
        <v>2909</v>
      </c>
      <c r="F92" s="10" t="n">
        <f aca="false">EXP(LN(INDEX(BSR_Table!$B$2:$B$14,MIN(MATCH(C92,BSR_Table!$A$2:$A$14,1),12)))+(LN(C92)-LN(INDEX(BSR_Table!$A$2:$A$14,MIN(MATCH(C92,BSR_Table!$A$2:$A$14,1),12))))*(LN(INDEX(BSR_Table!$B$2:$B$14,MIN(MATCH(C92,BSR_Table!$A$2:$A$14,1),12)+1))-LN(INDEX(BSR_Table!$B$2:$B$14,MIN(MATCH(C92,BSR_Table!$A$2:$A$14,1),12))))/(LN(INDEX(BSR_Table!$A$2:$A$14,MIN(MATCH(C92,BSR_Table!$A$2:$A$14,1),12)+1))-LN(INDEX(BSR_Table!$A$2:$A$14,MIN(MATCH(C92,BSR_Table!$A$2:$A$14,1),12)))))</f>
        <v>10.5014439485429</v>
      </c>
      <c r="G92" s="24" t="n">
        <f aca="false">F92*Sales_Estimates!$B$6*D92</f>
        <v>4092.41270674718</v>
      </c>
      <c r="H92" s="23" t="n">
        <f aca="false">G92/E92</f>
        <v>1.4068108307828</v>
      </c>
      <c r="I92" s="6" t="s">
        <v>119</v>
      </c>
    </row>
    <row r="93" customFormat="false" ht="23.85" hidden="false" customHeight="false" outlineLevel="0" collapsed="false">
      <c r="A93" s="6" t="s">
        <v>65</v>
      </c>
      <c r="B93" s="3" t="s">
        <v>1570</v>
      </c>
      <c r="C93" s="12" t="n">
        <v>24232</v>
      </c>
      <c r="D93" s="28" t="n">
        <v>11.99</v>
      </c>
      <c r="E93" s="36" t="n">
        <v>2350</v>
      </c>
      <c r="F93" s="10" t="n">
        <f aca="false">EXP(LN(INDEX(BSR_Table!$B$2:$B$14,MIN(MATCH(C93,BSR_Table!$A$2:$A$14,1),12)))+(LN(C93)-LN(INDEX(BSR_Table!$A$2:$A$14,MIN(MATCH(C93,BSR_Table!$A$2:$A$14,1),12))))*(LN(INDEX(BSR_Table!$B$2:$B$14,MIN(MATCH(C93,BSR_Table!$A$2:$A$14,1),12)+1))-LN(INDEX(BSR_Table!$B$2:$B$14,MIN(MATCH(C93,BSR_Table!$A$2:$A$14,1),12))))/(LN(INDEX(BSR_Table!$A$2:$A$14,MIN(MATCH(C93,BSR_Table!$A$2:$A$14,1),12)+1))-LN(INDEX(BSR_Table!$A$2:$A$14,MIN(MATCH(C93,BSR_Table!$A$2:$A$14,1),12)))))</f>
        <v>8.25354902608121</v>
      </c>
      <c r="G93" s="24" t="n">
        <f aca="false">F93*Sales_Estimates!$B$6*D93</f>
        <v>2968.80158468141</v>
      </c>
      <c r="H93" s="23" t="n">
        <f aca="false">G93/E93</f>
        <v>1.26331982326869</v>
      </c>
      <c r="I93" s="6" t="s">
        <v>127</v>
      </c>
    </row>
    <row r="94" customFormat="false" ht="23.85" hidden="false" customHeight="false" outlineLevel="0" collapsed="false">
      <c r="A94" s="6" t="s">
        <v>68</v>
      </c>
      <c r="B94" s="3" t="s">
        <v>1571</v>
      </c>
      <c r="C94" s="12" t="n">
        <v>9885</v>
      </c>
      <c r="D94" s="28" t="n">
        <v>4.99</v>
      </c>
      <c r="E94" s="36" t="n">
        <v>1676</v>
      </c>
      <c r="F94" s="10" t="n">
        <f aca="false">EXP(LN(INDEX(BSR_Table!$B$2:$B$14,MIN(MATCH(C94,BSR_Table!$A$2:$A$14,1),12)))+(LN(C94)-LN(INDEX(BSR_Table!$A$2:$A$14,MIN(MATCH(C94,BSR_Table!$A$2:$A$14,1),12))))*(LN(INDEX(BSR_Table!$B$2:$B$14,MIN(MATCH(C94,BSR_Table!$A$2:$A$14,1),12)+1))-LN(INDEX(BSR_Table!$B$2:$B$14,MIN(MATCH(C94,BSR_Table!$A$2:$A$14,1),12))))/(LN(INDEX(BSR_Table!$A$2:$A$14,MIN(MATCH(C94,BSR_Table!$A$2:$A$14,1),12)+1))-LN(INDEX(BSR_Table!$A$2:$A$14,MIN(MATCH(C94,BSR_Table!$A$2:$A$14,1),12)))))</f>
        <v>20.1357797990983</v>
      </c>
      <c r="G94" s="24" t="n">
        <f aca="false">F94*Sales_Estimates!$B$6*D94</f>
        <v>3014.32623592502</v>
      </c>
      <c r="H94" s="23" t="n">
        <f aca="false">G94/E94</f>
        <v>1.79852400711517</v>
      </c>
      <c r="I94" s="6" t="s">
        <v>127</v>
      </c>
    </row>
    <row r="95" customFormat="false" ht="23.85" hidden="false" customHeight="false" outlineLevel="0" collapsed="false">
      <c r="A95" s="6" t="s">
        <v>68</v>
      </c>
      <c r="B95" s="3" t="s">
        <v>1572</v>
      </c>
      <c r="C95" s="12" t="n">
        <v>11106</v>
      </c>
      <c r="D95" s="28" t="n">
        <v>2.99</v>
      </c>
      <c r="E95" s="36" t="n">
        <v>920</v>
      </c>
      <c r="F95" s="10" t="n">
        <f aca="false">EXP(LN(INDEX(BSR_Table!$B$2:$B$14,MIN(MATCH(C95,BSR_Table!$A$2:$A$14,1),12)))+(LN(C95)-LN(INDEX(BSR_Table!$A$2:$A$14,MIN(MATCH(C95,BSR_Table!$A$2:$A$14,1),12))))*(LN(INDEX(BSR_Table!$B$2:$B$14,MIN(MATCH(C95,BSR_Table!$A$2:$A$14,1),12)+1))-LN(INDEX(BSR_Table!$B$2:$B$14,MIN(MATCH(C95,BSR_Table!$A$2:$A$14,1),12))))/(LN(INDEX(BSR_Table!$A$2:$A$14,MIN(MATCH(C95,BSR_Table!$A$2:$A$14,1),12)+1))-LN(INDEX(BSR_Table!$A$2:$A$14,MIN(MATCH(C95,BSR_Table!$A$2:$A$14,1),12)))))</f>
        <v>18.0082838105529</v>
      </c>
      <c r="G95" s="24" t="n">
        <f aca="false">F95*Sales_Estimates!$B$6*D95</f>
        <v>1615.34305780659</v>
      </c>
      <c r="H95" s="23" t="n">
        <f aca="false">G95/E95</f>
        <v>1.7558076715289</v>
      </c>
      <c r="I95" s="6" t="s">
        <v>119</v>
      </c>
    </row>
    <row r="96" customFormat="false" ht="23.85" hidden="false" customHeight="false" outlineLevel="0" collapsed="false">
      <c r="A96" s="6" t="s">
        <v>68</v>
      </c>
      <c r="B96" s="3" t="s">
        <v>1563</v>
      </c>
      <c r="C96" s="12" t="n">
        <v>12649</v>
      </c>
      <c r="D96" s="28" t="n">
        <v>16.99</v>
      </c>
      <c r="E96" s="36" t="n">
        <v>4757</v>
      </c>
      <c r="F96" s="10" t="n">
        <f aca="false">EXP(LN(INDEX(BSR_Table!$B$2:$B$14,MIN(MATCH(C96,BSR_Table!$A$2:$A$14,1),12)))+(LN(C96)-LN(INDEX(BSR_Table!$A$2:$A$14,MIN(MATCH(C96,BSR_Table!$A$2:$A$14,1),12))))*(LN(INDEX(BSR_Table!$B$2:$B$14,MIN(MATCH(C96,BSR_Table!$A$2:$A$14,1),12)+1))-LN(INDEX(BSR_Table!$B$2:$B$14,MIN(MATCH(C96,BSR_Table!$A$2:$A$14,1),12))))/(LN(INDEX(BSR_Table!$A$2:$A$14,MIN(MATCH(C96,BSR_Table!$A$2:$A$14,1),12)+1))-LN(INDEX(BSR_Table!$A$2:$A$14,MIN(MATCH(C96,BSR_Table!$A$2:$A$14,1),12)))))</f>
        <v>15.8115266028935</v>
      </c>
      <c r="G96" s="24" t="n">
        <f aca="false">F96*Sales_Estimates!$B$6*D96</f>
        <v>8059.13510949483</v>
      </c>
      <c r="H96" s="23" t="n">
        <f aca="false">G96/E96</f>
        <v>1.69416336125601</v>
      </c>
      <c r="I96" s="6" t="s">
        <v>119</v>
      </c>
    </row>
    <row r="97" customFormat="false" ht="23.85" hidden="false" customHeight="false" outlineLevel="0" collapsed="false">
      <c r="A97" s="6" t="s">
        <v>68</v>
      </c>
      <c r="B97" s="3" t="s">
        <v>1573</v>
      </c>
      <c r="C97" s="12" t="n">
        <v>14061</v>
      </c>
      <c r="D97" s="28" t="n">
        <v>1.99</v>
      </c>
      <c r="E97" s="36" t="n">
        <v>557</v>
      </c>
      <c r="F97" s="10" t="n">
        <f aca="false">EXP(LN(INDEX(BSR_Table!$B$2:$B$14,MIN(MATCH(C97,BSR_Table!$A$2:$A$14,1),12)))+(LN(C97)-LN(INDEX(BSR_Table!$A$2:$A$14,MIN(MATCH(C97,BSR_Table!$A$2:$A$14,1),12))))*(LN(INDEX(BSR_Table!$B$2:$B$14,MIN(MATCH(C97,BSR_Table!$A$2:$A$14,1),12)+1))-LN(INDEX(BSR_Table!$B$2:$B$14,MIN(MATCH(C97,BSR_Table!$A$2:$A$14,1),12))))/(LN(INDEX(BSR_Table!$A$2:$A$14,MIN(MATCH(C97,BSR_Table!$A$2:$A$14,1),12)+1))-LN(INDEX(BSR_Table!$A$2:$A$14,MIN(MATCH(C97,BSR_Table!$A$2:$A$14,1),12)))))</f>
        <v>14.2237394210938</v>
      </c>
      <c r="G97" s="24" t="n">
        <f aca="false">F97*Sales_Estimates!$B$6*D97</f>
        <v>849.1572434393</v>
      </c>
      <c r="H97" s="23" t="n">
        <f aca="false">G97/E97</f>
        <v>1.52451928804183</v>
      </c>
      <c r="I97" s="6" t="s">
        <v>119</v>
      </c>
    </row>
    <row r="98" customFormat="false" ht="35.05" hidden="false" customHeight="false" outlineLevel="0" collapsed="false">
      <c r="A98" s="6" t="s">
        <v>68</v>
      </c>
      <c r="B98" s="3" t="s">
        <v>1574</v>
      </c>
      <c r="C98" s="12" t="n">
        <v>14834</v>
      </c>
      <c r="D98" s="28" t="n">
        <v>12.99</v>
      </c>
      <c r="E98" s="36" t="n">
        <v>3273</v>
      </c>
      <c r="F98" s="10" t="n">
        <f aca="false">EXP(LN(INDEX(BSR_Table!$B$2:$B$14,MIN(MATCH(C98,BSR_Table!$A$2:$A$14,1),12)))+(LN(C98)-LN(INDEX(BSR_Table!$A$2:$A$14,MIN(MATCH(C98,BSR_Table!$A$2:$A$14,1),12))))*(LN(INDEX(BSR_Table!$B$2:$B$14,MIN(MATCH(C98,BSR_Table!$A$2:$A$14,1),12)+1))-LN(INDEX(BSR_Table!$B$2:$B$14,MIN(MATCH(C98,BSR_Table!$A$2:$A$14,1),12))))/(LN(INDEX(BSR_Table!$A$2:$A$14,MIN(MATCH(C98,BSR_Table!$A$2:$A$14,1),12)+1))-LN(INDEX(BSR_Table!$A$2:$A$14,MIN(MATCH(C98,BSR_Table!$A$2:$A$14,1),12)))))</f>
        <v>13.4825401105568</v>
      </c>
      <c r="G98" s="24" t="n">
        <f aca="false">F98*Sales_Estimates!$B$6*D98</f>
        <v>5254.14588108399</v>
      </c>
      <c r="H98" s="23" t="n">
        <f aca="false">G98/E98</f>
        <v>1.6052996886905</v>
      </c>
      <c r="I98" s="6" t="s">
        <v>119</v>
      </c>
    </row>
    <row r="99" customFormat="false" ht="35.05" hidden="false" customHeight="false" outlineLevel="0" collapsed="false">
      <c r="A99" s="6" t="s">
        <v>68</v>
      </c>
      <c r="B99" s="3" t="s">
        <v>1575</v>
      </c>
      <c r="C99" s="12" t="n">
        <v>18914</v>
      </c>
      <c r="D99" s="28" t="n">
        <v>4.99</v>
      </c>
      <c r="E99" s="36" t="n">
        <v>1117</v>
      </c>
      <c r="F99" s="10" t="n">
        <f aca="false">EXP(LN(INDEX(BSR_Table!$B$2:$B$14,MIN(MATCH(C99,BSR_Table!$A$2:$A$14,1),12)))+(LN(C99)-LN(INDEX(BSR_Table!$A$2:$A$14,MIN(MATCH(C99,BSR_Table!$A$2:$A$14,1),12))))*(LN(INDEX(BSR_Table!$B$2:$B$14,MIN(MATCH(C99,BSR_Table!$A$2:$A$14,1),12)+1))-LN(INDEX(BSR_Table!$B$2:$B$14,MIN(MATCH(C99,BSR_Table!$A$2:$A$14,1),12))))/(LN(INDEX(BSR_Table!$A$2:$A$14,MIN(MATCH(C99,BSR_Table!$A$2:$A$14,1),12)+1))-LN(INDEX(BSR_Table!$A$2:$A$14,MIN(MATCH(C99,BSR_Table!$A$2:$A$14,1),12)))))</f>
        <v>10.5741778576716</v>
      </c>
      <c r="G99" s="24" t="n">
        <f aca="false">F99*Sales_Estimates!$B$6*D99</f>
        <v>1582.95442529343</v>
      </c>
      <c r="H99" s="23" t="n">
        <f aca="false">G99/E99</f>
        <v>1.41714809784551</v>
      </c>
      <c r="I99" s="6" t="s">
        <v>119</v>
      </c>
    </row>
    <row r="100" customFormat="false" ht="23.85" hidden="false" customHeight="false" outlineLevel="0" collapsed="false">
      <c r="A100" s="6" t="s">
        <v>68</v>
      </c>
      <c r="B100" s="3" t="s">
        <v>965</v>
      </c>
      <c r="C100" s="12" t="n">
        <v>22675</v>
      </c>
      <c r="D100" s="28" t="n">
        <v>5.99</v>
      </c>
      <c r="E100" s="36" t="n">
        <v>1174</v>
      </c>
      <c r="F100" s="10" t="n">
        <f aca="false">EXP(LN(INDEX(BSR_Table!$B$2:$B$14,MIN(MATCH(C100,BSR_Table!$A$2:$A$14,1),12)))+(LN(C100)-LN(INDEX(BSR_Table!$A$2:$A$14,MIN(MATCH(C100,BSR_Table!$A$2:$A$14,1),12))))*(LN(INDEX(BSR_Table!$B$2:$B$14,MIN(MATCH(C100,BSR_Table!$A$2:$A$14,1),12)+1))-LN(INDEX(BSR_Table!$B$2:$B$14,MIN(MATCH(C100,BSR_Table!$A$2:$A$14,1),12))))/(LN(INDEX(BSR_Table!$A$2:$A$14,MIN(MATCH(C100,BSR_Table!$A$2:$A$14,1),12)+1))-LN(INDEX(BSR_Table!$A$2:$A$14,MIN(MATCH(C100,BSR_Table!$A$2:$A$14,1),12)))))</f>
        <v>8.82028665931642</v>
      </c>
      <c r="G100" s="24" t="n">
        <f aca="false">F100*Sales_Estimates!$B$6*D100</f>
        <v>1585.00551267916</v>
      </c>
      <c r="H100" s="23" t="n">
        <f aca="false">G100/E100</f>
        <v>1.35008987451376</v>
      </c>
      <c r="I100" s="6" t="s">
        <v>127</v>
      </c>
    </row>
    <row r="101" customFormat="false" ht="23.85" hidden="false" customHeight="false" outlineLevel="0" collapsed="false">
      <c r="A101" s="6" t="s">
        <v>68</v>
      </c>
      <c r="B101" s="3" t="s">
        <v>1576</v>
      </c>
      <c r="C101" s="12" t="n">
        <v>27273</v>
      </c>
      <c r="D101" s="28" t="n">
        <v>14.99</v>
      </c>
      <c r="E101" s="36" t="n">
        <v>2518</v>
      </c>
      <c r="F101" s="10" t="n">
        <f aca="false">EXP(LN(INDEX(BSR_Table!$B$2:$B$14,MIN(MATCH(C101,BSR_Table!$A$2:$A$14,1),12)))+(LN(C101)-LN(INDEX(BSR_Table!$A$2:$A$14,MIN(MATCH(C101,BSR_Table!$A$2:$A$14,1),12))))*(LN(INDEX(BSR_Table!$B$2:$B$14,MIN(MATCH(C101,BSR_Table!$A$2:$A$14,1),12)+1))-LN(INDEX(BSR_Table!$B$2:$B$14,MIN(MATCH(C101,BSR_Table!$A$2:$A$14,1),12))))/(LN(INDEX(BSR_Table!$A$2:$A$14,MIN(MATCH(C101,BSR_Table!$A$2:$A$14,1),12)+1))-LN(INDEX(BSR_Table!$A$2:$A$14,MIN(MATCH(C101,BSR_Table!$A$2:$A$14,1),12)))))</f>
        <v>7.33326000073333</v>
      </c>
      <c r="G101" s="24" t="n">
        <f aca="false">F101*Sales_Estimates!$B$6*D101</f>
        <v>3297.76702232978</v>
      </c>
      <c r="H101" s="23" t="n">
        <f aca="false">G101/E101</f>
        <v>1.30967713357021</v>
      </c>
      <c r="I101" s="6" t="s">
        <v>127</v>
      </c>
    </row>
    <row r="102" customFormat="false" ht="23.85" hidden="false" customHeight="false" outlineLevel="0" collapsed="false">
      <c r="A102" s="6" t="s">
        <v>68</v>
      </c>
      <c r="B102" s="3" t="s">
        <v>1577</v>
      </c>
      <c r="C102" s="12" t="n">
        <v>27794</v>
      </c>
      <c r="D102" s="28" t="n">
        <v>2.99</v>
      </c>
      <c r="E102" s="36" t="n">
        <v>502</v>
      </c>
      <c r="F102" s="10" t="n">
        <f aca="false">EXP(LN(INDEX(BSR_Table!$B$2:$B$14,MIN(MATCH(C102,BSR_Table!$A$2:$A$14,1),12)))+(LN(C102)-LN(INDEX(BSR_Table!$A$2:$A$14,MIN(MATCH(C102,BSR_Table!$A$2:$A$14,1),12))))*(LN(INDEX(BSR_Table!$B$2:$B$14,MIN(MATCH(C102,BSR_Table!$A$2:$A$14,1),12)+1))-LN(INDEX(BSR_Table!$B$2:$B$14,MIN(MATCH(C102,BSR_Table!$A$2:$A$14,1),12))))/(LN(INDEX(BSR_Table!$A$2:$A$14,MIN(MATCH(C102,BSR_Table!$A$2:$A$14,1),12)+1))-LN(INDEX(BSR_Table!$A$2:$A$14,MIN(MATCH(C102,BSR_Table!$A$2:$A$14,1),12)))))</f>
        <v>7.19579765416997</v>
      </c>
      <c r="G102" s="24" t="n">
        <f aca="false">F102*Sales_Estimates!$B$6*D102</f>
        <v>645.463049579046</v>
      </c>
      <c r="H102" s="23" t="n">
        <f aca="false">G102/E102</f>
        <v>1.28578296728894</v>
      </c>
      <c r="I102" s="6" t="s">
        <v>119</v>
      </c>
    </row>
    <row r="103" customFormat="false" ht="15" hidden="false" customHeight="false" outlineLevel="0" collapsed="false">
      <c r="A103" s="6" t="s">
        <v>68</v>
      </c>
      <c r="B103" s="3" t="s">
        <v>1578</v>
      </c>
      <c r="C103" s="12" t="n">
        <v>29613</v>
      </c>
      <c r="D103" s="28" t="n">
        <v>1.99</v>
      </c>
      <c r="E103" s="36" t="n">
        <v>278</v>
      </c>
      <c r="F103" s="10" t="n">
        <f aca="false">EXP(LN(INDEX(BSR_Table!$B$2:$B$14,MIN(MATCH(C103,BSR_Table!$A$2:$A$14,1),12)))+(LN(C103)-LN(INDEX(BSR_Table!$A$2:$A$14,MIN(MATCH(C103,BSR_Table!$A$2:$A$14,1),12))))*(LN(INDEX(BSR_Table!$B$2:$B$14,MIN(MATCH(C103,BSR_Table!$A$2:$A$14,1),12)+1))-LN(INDEX(BSR_Table!$B$2:$B$14,MIN(MATCH(C103,BSR_Table!$A$2:$A$14,1),12))))/(LN(INDEX(BSR_Table!$A$2:$A$14,MIN(MATCH(C103,BSR_Table!$A$2:$A$14,1),12)+1))-LN(INDEX(BSR_Table!$A$2:$A$14,MIN(MATCH(C103,BSR_Table!$A$2:$A$14,1),12)))))</f>
        <v>6.75379056495458</v>
      </c>
      <c r="G103" s="24" t="n">
        <f aca="false">F103*Sales_Estimates!$B$6*D103</f>
        <v>403.201296727788</v>
      </c>
      <c r="H103" s="23" t="n">
        <f aca="false">G103/E103</f>
        <v>1.45036437671866</v>
      </c>
      <c r="I103" s="6" t="s">
        <v>119</v>
      </c>
    </row>
    <row r="104" customFormat="false" ht="35.05" hidden="false" customHeight="false" outlineLevel="0" collapsed="false">
      <c r="A104" s="6" t="s">
        <v>68</v>
      </c>
      <c r="B104" s="3" t="s">
        <v>1579</v>
      </c>
      <c r="C104" s="12" t="n">
        <v>32290</v>
      </c>
      <c r="D104" s="28" t="n">
        <v>14.99</v>
      </c>
      <c r="E104" s="36" t="n">
        <v>2098</v>
      </c>
      <c r="F104" s="10" t="n">
        <f aca="false">EXP(LN(INDEX(BSR_Table!$B$2:$B$14,MIN(MATCH(C104,BSR_Table!$A$2:$A$14,1),12)))+(LN(C104)-LN(INDEX(BSR_Table!$A$2:$A$14,MIN(MATCH(C104,BSR_Table!$A$2:$A$14,1),12))))*(LN(INDEX(BSR_Table!$B$2:$B$14,MIN(MATCH(C104,BSR_Table!$A$2:$A$14,1),12)+1))-LN(INDEX(BSR_Table!$B$2:$B$14,MIN(MATCH(C104,BSR_Table!$A$2:$A$14,1),12))))/(LN(INDEX(BSR_Table!$A$2:$A$14,MIN(MATCH(C104,BSR_Table!$A$2:$A$14,1),12)+1))-LN(INDEX(BSR_Table!$A$2:$A$14,MIN(MATCH(C104,BSR_Table!$A$2:$A$14,1),12)))))</f>
        <v>6.19386807061009</v>
      </c>
      <c r="G104" s="24" t="n">
        <f aca="false">F104*Sales_Estimates!$B$6*D104</f>
        <v>2785.38247135336</v>
      </c>
      <c r="H104" s="23" t="n">
        <f aca="false">G104/E104</f>
        <v>1.32763702161743</v>
      </c>
      <c r="I104" s="6" t="s">
        <v>119</v>
      </c>
    </row>
    <row r="105" customFormat="false" ht="35.05" hidden="false" customHeight="false" outlineLevel="0" collapsed="false">
      <c r="A105" s="6" t="s">
        <v>68</v>
      </c>
      <c r="B105" s="3" t="s">
        <v>1580</v>
      </c>
      <c r="C105" s="12" t="n">
        <v>32900</v>
      </c>
      <c r="D105" s="28" t="n">
        <v>0.99</v>
      </c>
      <c r="E105" s="36" t="n">
        <v>138</v>
      </c>
      <c r="F105" s="10" t="n">
        <f aca="false">EXP(LN(INDEX(BSR_Table!$B$2:$B$14,MIN(MATCH(C105,BSR_Table!$A$2:$A$14,1),12)))+(LN(C105)-LN(INDEX(BSR_Table!$A$2:$A$14,MIN(MATCH(C105,BSR_Table!$A$2:$A$14,1),12))))*(LN(INDEX(BSR_Table!$B$2:$B$14,MIN(MATCH(C105,BSR_Table!$A$2:$A$14,1),12)+1))-LN(INDEX(BSR_Table!$B$2:$B$14,MIN(MATCH(C105,BSR_Table!$A$2:$A$14,1),12))))/(LN(INDEX(BSR_Table!$A$2:$A$14,MIN(MATCH(C105,BSR_Table!$A$2:$A$14,1),12)+1))-LN(INDEX(BSR_Table!$A$2:$A$14,MIN(MATCH(C105,BSR_Table!$A$2:$A$14,1),12)))))</f>
        <v>6.0790273556231</v>
      </c>
      <c r="G105" s="24" t="n">
        <f aca="false">F105*Sales_Estimates!$B$6*D105</f>
        <v>180.547112462006</v>
      </c>
      <c r="H105" s="23" t="n">
        <f aca="false">G105/E105</f>
        <v>1.30831240914497</v>
      </c>
      <c r="I105" s="6" t="s">
        <v>127</v>
      </c>
    </row>
    <row r="106" customFormat="false" ht="15" hidden="false" customHeight="false" outlineLevel="0" collapsed="false">
      <c r="A106" s="6" t="s">
        <v>68</v>
      </c>
      <c r="B106" s="3" t="s">
        <v>1581</v>
      </c>
      <c r="C106" s="12" t="n">
        <v>35975</v>
      </c>
      <c r="D106" s="28" t="n">
        <v>15.33</v>
      </c>
      <c r="E106" s="36" t="n">
        <v>1716</v>
      </c>
      <c r="F106" s="10" t="n">
        <f aca="false">EXP(LN(INDEX(BSR_Table!$B$2:$B$14,MIN(MATCH(C106,BSR_Table!$A$2:$A$14,1),12)))+(LN(C106)-LN(INDEX(BSR_Table!$A$2:$A$14,MIN(MATCH(C106,BSR_Table!$A$2:$A$14,1),12))))*(LN(INDEX(BSR_Table!$B$2:$B$14,MIN(MATCH(C106,BSR_Table!$A$2:$A$14,1),12)+1))-LN(INDEX(BSR_Table!$B$2:$B$14,MIN(MATCH(C106,BSR_Table!$A$2:$A$14,1),12))))/(LN(INDEX(BSR_Table!$A$2:$A$14,MIN(MATCH(C106,BSR_Table!$A$2:$A$14,1),12)+1))-LN(INDEX(BSR_Table!$A$2:$A$14,MIN(MATCH(C106,BSR_Table!$A$2:$A$14,1),12)))))</f>
        <v>5.55941626129257</v>
      </c>
      <c r="G106" s="24" t="n">
        <f aca="false">F106*Sales_Estimates!$B$6*D106</f>
        <v>2556.77553856845</v>
      </c>
      <c r="H106" s="23" t="n">
        <f aca="false">G106/E106</f>
        <v>1.4899624350632</v>
      </c>
      <c r="I106" s="6" t="s">
        <v>119</v>
      </c>
    </row>
    <row r="107" customFormat="false" ht="35.05" hidden="false" customHeight="false" outlineLevel="0" collapsed="false">
      <c r="A107" s="6" t="s">
        <v>68</v>
      </c>
      <c r="B107" s="3" t="s">
        <v>1582</v>
      </c>
      <c r="C107" s="12" t="n">
        <v>37192</v>
      </c>
      <c r="D107" s="28" t="n">
        <v>9.99</v>
      </c>
      <c r="E107" s="36" t="n">
        <v>1118</v>
      </c>
      <c r="F107" s="10" t="n">
        <f aca="false">EXP(LN(INDEX(BSR_Table!$B$2:$B$14,MIN(MATCH(C107,BSR_Table!$A$2:$A$14,1),12)))+(LN(C107)-LN(INDEX(BSR_Table!$A$2:$A$14,MIN(MATCH(C107,BSR_Table!$A$2:$A$14,1),12))))*(LN(INDEX(BSR_Table!$B$2:$B$14,MIN(MATCH(C107,BSR_Table!$A$2:$A$14,1),12)+1))-LN(INDEX(BSR_Table!$B$2:$B$14,MIN(MATCH(C107,BSR_Table!$A$2:$A$14,1),12))))/(LN(INDEX(BSR_Table!$A$2:$A$14,MIN(MATCH(C107,BSR_Table!$A$2:$A$14,1),12)+1))-LN(INDEX(BSR_Table!$A$2:$A$14,MIN(MATCH(C107,BSR_Table!$A$2:$A$14,1),12)))))</f>
        <v>5.37750053775005</v>
      </c>
      <c r="G107" s="24" t="n">
        <f aca="false">F107*Sales_Estimates!$B$6*D107</f>
        <v>1611.63691116369</v>
      </c>
      <c r="H107" s="23" t="n">
        <f aca="false">G107/E107</f>
        <v>1.44153569871529</v>
      </c>
      <c r="I107" s="6" t="s">
        <v>127</v>
      </c>
    </row>
    <row r="108" customFormat="false" ht="23.85" hidden="false" customHeight="false" outlineLevel="0" collapsed="false">
      <c r="A108" s="6" t="s">
        <v>68</v>
      </c>
      <c r="B108" s="3" t="s">
        <v>1583</v>
      </c>
      <c r="C108" s="12" t="n">
        <v>39479</v>
      </c>
      <c r="D108" s="28" t="n">
        <v>2.99</v>
      </c>
      <c r="E108" s="36" t="n">
        <v>334</v>
      </c>
      <c r="F108" s="10" t="n">
        <f aca="false">EXP(LN(INDEX(BSR_Table!$B$2:$B$14,MIN(MATCH(C108,BSR_Table!$A$2:$A$14,1),12)))+(LN(C108)-LN(INDEX(BSR_Table!$A$2:$A$14,MIN(MATCH(C108,BSR_Table!$A$2:$A$14,1),12))))*(LN(INDEX(BSR_Table!$B$2:$B$14,MIN(MATCH(C108,BSR_Table!$A$2:$A$14,1),12)+1))-LN(INDEX(BSR_Table!$B$2:$B$14,MIN(MATCH(C108,BSR_Table!$A$2:$A$14,1),12))))/(LN(INDEX(BSR_Table!$A$2:$A$14,MIN(MATCH(C108,BSR_Table!$A$2:$A$14,1),12)+1))-LN(INDEX(BSR_Table!$A$2:$A$14,MIN(MATCH(C108,BSR_Table!$A$2:$A$14,1),12)))))</f>
        <v>5.06598444742775</v>
      </c>
      <c r="G108" s="24" t="n">
        <f aca="false">F108*Sales_Estimates!$B$6*D108</f>
        <v>454.418804934269</v>
      </c>
      <c r="H108" s="23" t="n">
        <f aca="false">G108/E108</f>
        <v>1.36053534411458</v>
      </c>
      <c r="I108" s="6" t="s">
        <v>119</v>
      </c>
    </row>
    <row r="109" customFormat="false" ht="15" hidden="false" customHeight="false" outlineLevel="0" collapsed="false">
      <c r="A109" s="6" t="s">
        <v>71</v>
      </c>
      <c r="B109" s="3" t="s">
        <v>1026</v>
      </c>
      <c r="C109" s="12" t="n">
        <v>35034</v>
      </c>
      <c r="D109" s="28" t="n">
        <v>0.99</v>
      </c>
      <c r="E109" s="36" t="n">
        <v>110</v>
      </c>
      <c r="F109" s="10" t="n">
        <f aca="false">EXP(LN(INDEX(BSR_Table!$B$2:$B$14,MIN(MATCH(C109,BSR_Table!$A$2:$A$14,1),12)))+(LN(C109)-LN(INDEX(BSR_Table!$A$2:$A$14,MIN(MATCH(C109,BSR_Table!$A$2:$A$14,1),12))))*(LN(INDEX(BSR_Table!$B$2:$B$14,MIN(MATCH(C109,BSR_Table!$A$2:$A$14,1),12)+1))-LN(INDEX(BSR_Table!$B$2:$B$14,MIN(MATCH(C109,BSR_Table!$A$2:$A$14,1),12))))/(LN(INDEX(BSR_Table!$A$2:$A$14,MIN(MATCH(C109,BSR_Table!$A$2:$A$14,1),12)+1))-LN(INDEX(BSR_Table!$A$2:$A$14,MIN(MATCH(C109,BSR_Table!$A$2:$A$14,1),12)))))</f>
        <v>5.70874008106411</v>
      </c>
      <c r="G109" s="24" t="n">
        <f aca="false">F109*Sales_Estimates!$B$6*D109</f>
        <v>169.549580407604</v>
      </c>
      <c r="H109" s="23" t="n">
        <f aca="false">G109/E109</f>
        <v>1.54135982188731</v>
      </c>
      <c r="I109" s="6" t="s">
        <v>119</v>
      </c>
    </row>
    <row r="110" customFormat="false" ht="15" hidden="false" customHeight="false" outlineLevel="0" collapsed="false">
      <c r="A110" s="6" t="s">
        <v>71</v>
      </c>
      <c r="B110" s="3" t="s">
        <v>1584</v>
      </c>
      <c r="C110" s="12" t="n">
        <v>55222</v>
      </c>
      <c r="D110" s="28" t="n">
        <v>2.99</v>
      </c>
      <c r="E110" s="36" t="n">
        <v>167</v>
      </c>
      <c r="F110" s="10" t="n">
        <f aca="false">EXP(LN(INDEX(BSR_Table!$B$2:$B$14,MIN(MATCH(C110,BSR_Table!$A$2:$A$14,1),12)))+(LN(C110)-LN(INDEX(BSR_Table!$A$2:$A$14,MIN(MATCH(C110,BSR_Table!$A$2:$A$14,1),12))))*(LN(INDEX(BSR_Table!$B$2:$B$14,MIN(MATCH(C110,BSR_Table!$A$2:$A$14,1),12)+1))-LN(INDEX(BSR_Table!$B$2:$B$14,MIN(MATCH(C110,BSR_Table!$A$2:$A$14,1),12))))/(LN(INDEX(BSR_Table!$A$2:$A$14,MIN(MATCH(C110,BSR_Table!$A$2:$A$14,1),12)+1))-LN(INDEX(BSR_Table!$A$2:$A$14,MIN(MATCH(C110,BSR_Table!$A$2:$A$14,1),12)))))</f>
        <v>3.47545975152307</v>
      </c>
      <c r="G110" s="24" t="n">
        <f aca="false">F110*Sales_Estimates!$B$6*D110</f>
        <v>311.748739711619</v>
      </c>
      <c r="H110" s="23" t="n">
        <f aca="false">G110/E110</f>
        <v>1.86675892042886</v>
      </c>
      <c r="I110" s="6" t="s">
        <v>127</v>
      </c>
    </row>
    <row r="111" customFormat="false" ht="23.85" hidden="false" customHeight="false" outlineLevel="0" collapsed="false">
      <c r="A111" s="6" t="s">
        <v>71</v>
      </c>
      <c r="B111" s="3" t="s">
        <v>1585</v>
      </c>
      <c r="C111" s="12" t="n">
        <v>77237</v>
      </c>
      <c r="D111" s="28" t="n">
        <v>5.99</v>
      </c>
      <c r="E111" s="36" t="n">
        <v>167</v>
      </c>
      <c r="F111" s="10" t="n">
        <f aca="false">EXP(LN(INDEX(BSR_Table!$B$2:$B$14,MIN(MATCH(C111,BSR_Table!$A$2:$A$14,1),12)))+(LN(C111)-LN(INDEX(BSR_Table!$A$2:$A$14,MIN(MATCH(C111,BSR_Table!$A$2:$A$14,1),12))))*(LN(INDEX(BSR_Table!$B$2:$B$14,MIN(MATCH(C111,BSR_Table!$A$2:$A$14,1),12)+1))-LN(INDEX(BSR_Table!$B$2:$B$14,MIN(MATCH(C111,BSR_Table!$A$2:$A$14,1),12))))/(LN(INDEX(BSR_Table!$A$2:$A$14,MIN(MATCH(C111,BSR_Table!$A$2:$A$14,1),12)+1))-LN(INDEX(BSR_Table!$A$2:$A$14,MIN(MATCH(C111,BSR_Table!$A$2:$A$14,1),12)))))</f>
        <v>2.16183492679657</v>
      </c>
      <c r="G111" s="24" t="n">
        <f aca="false">F111*Sales_Estimates!$B$6*D111</f>
        <v>388.481736345344</v>
      </c>
      <c r="H111" s="23" t="n">
        <f aca="false">G111/E111</f>
        <v>2.32623794218769</v>
      </c>
      <c r="I111" s="6" t="s">
        <v>127</v>
      </c>
    </row>
    <row r="112" customFormat="false" ht="15" hidden="false" customHeight="false" outlineLevel="0" collapsed="false">
      <c r="A112" s="6" t="s">
        <v>71</v>
      </c>
      <c r="B112" s="3" t="s">
        <v>1114</v>
      </c>
      <c r="C112" s="12" t="n">
        <v>79276</v>
      </c>
      <c r="D112" s="28" t="n">
        <v>2.99</v>
      </c>
      <c r="E112" s="36" t="n">
        <v>83</v>
      </c>
      <c r="F112" s="10" t="n">
        <f aca="false">EXP(LN(INDEX(BSR_Table!$B$2:$B$14,MIN(MATCH(C112,BSR_Table!$A$2:$A$14,1),12)))+(LN(C112)-LN(INDEX(BSR_Table!$A$2:$A$14,MIN(MATCH(C112,BSR_Table!$A$2:$A$14,1),12))))*(LN(INDEX(BSR_Table!$B$2:$B$14,MIN(MATCH(C112,BSR_Table!$A$2:$A$14,1),12)+1))-LN(INDEX(BSR_Table!$B$2:$B$14,MIN(MATCH(C112,BSR_Table!$A$2:$A$14,1),12))))/(LN(INDEX(BSR_Table!$A$2:$A$14,MIN(MATCH(C112,BSR_Table!$A$2:$A$14,1),12)+1))-LN(INDEX(BSR_Table!$A$2:$A$14,MIN(MATCH(C112,BSR_Table!$A$2:$A$14,1),12)))))</f>
        <v>2.08357671169385</v>
      </c>
      <c r="G112" s="24" t="n">
        <f aca="false">F112*Sales_Estimates!$B$6*D112</f>
        <v>186.896831038939</v>
      </c>
      <c r="H112" s="23" t="n">
        <f aca="false">G112/E112</f>
        <v>2.25176904866191</v>
      </c>
      <c r="I112" s="6" t="s">
        <v>127</v>
      </c>
    </row>
    <row r="113" customFormat="false" ht="23.85" hidden="false" customHeight="false" outlineLevel="0" collapsed="false">
      <c r="A113" s="6" t="s">
        <v>71</v>
      </c>
      <c r="B113" s="3" t="s">
        <v>1586</v>
      </c>
      <c r="C113" s="12" t="n">
        <v>105328</v>
      </c>
      <c r="D113" s="28" t="n">
        <v>0.99</v>
      </c>
      <c r="E113" s="36" t="n">
        <v>27</v>
      </c>
      <c r="F113" s="10" t="n">
        <f aca="false">EXP(LN(INDEX(BSR_Table!$B$2:$B$14,MIN(MATCH(C113,BSR_Table!$A$2:$A$14,1),12)))+(LN(C113)-LN(INDEX(BSR_Table!$A$2:$A$14,MIN(MATCH(C113,BSR_Table!$A$2:$A$14,1),12))))*(LN(INDEX(BSR_Table!$B$2:$B$14,MIN(MATCH(C113,BSR_Table!$A$2:$A$14,1),12)+1))-LN(INDEX(BSR_Table!$B$2:$B$14,MIN(MATCH(C113,BSR_Table!$A$2:$A$14,1),12))))/(LN(INDEX(BSR_Table!$A$2:$A$14,MIN(MATCH(C113,BSR_Table!$A$2:$A$14,1),12)+1))-LN(INDEX(BSR_Table!$A$2:$A$14,MIN(MATCH(C113,BSR_Table!$A$2:$A$14,1),12)))))</f>
        <v>1.40052197185677</v>
      </c>
      <c r="G113" s="24" t="n">
        <f aca="false">F113*Sales_Estimates!$B$6*D113</f>
        <v>41.5955025641461</v>
      </c>
      <c r="H113" s="23" t="n">
        <f aca="false">G113/E113</f>
        <v>1.54057416904245</v>
      </c>
      <c r="I113" s="6" t="s">
        <v>127</v>
      </c>
    </row>
    <row r="114" customFormat="false" ht="15" hidden="false" customHeight="false" outlineLevel="0" collapsed="false">
      <c r="A114" s="6" t="s">
        <v>71</v>
      </c>
      <c r="B114" s="3" t="s">
        <v>1587</v>
      </c>
      <c r="C114" s="12" t="n">
        <v>111989</v>
      </c>
      <c r="D114" s="28" t="n">
        <v>2.99</v>
      </c>
      <c r="E114" s="36" t="n">
        <v>83</v>
      </c>
      <c r="F114" s="10" t="n">
        <f aca="false">EXP(LN(INDEX(BSR_Table!$B$2:$B$14,MIN(MATCH(C114,BSR_Table!$A$2:$A$14,1),12)))+(LN(C114)-LN(INDEX(BSR_Table!$A$2:$A$14,MIN(MATCH(C114,BSR_Table!$A$2:$A$14,1),12))))*(LN(INDEX(BSR_Table!$B$2:$B$14,MIN(MATCH(C114,BSR_Table!$A$2:$A$14,1),12)+1))-LN(INDEX(BSR_Table!$B$2:$B$14,MIN(MATCH(C114,BSR_Table!$A$2:$A$14,1),12))))/(LN(INDEX(BSR_Table!$A$2:$A$14,MIN(MATCH(C114,BSR_Table!$A$2:$A$14,1),12)+1))-LN(INDEX(BSR_Table!$A$2:$A$14,MIN(MATCH(C114,BSR_Table!$A$2:$A$14,1),12)))))</f>
        <v>1.29147189738218</v>
      </c>
      <c r="G114" s="24" t="n">
        <f aca="false">F114*Sales_Estimates!$B$6*D114</f>
        <v>115.845029195181</v>
      </c>
      <c r="H114" s="23" t="n">
        <f aca="false">G114/E114</f>
        <v>1.39572324331544</v>
      </c>
      <c r="I114" s="6" t="s">
        <v>127</v>
      </c>
    </row>
    <row r="115" customFormat="false" ht="15" hidden="false" customHeight="false" outlineLevel="0" collapsed="false">
      <c r="A115" s="6" t="s">
        <v>71</v>
      </c>
      <c r="B115" s="3" t="s">
        <v>1588</v>
      </c>
      <c r="C115" s="12" t="n">
        <v>119519</v>
      </c>
      <c r="D115" s="28" t="n">
        <v>0.29</v>
      </c>
      <c r="E115" s="36" t="n">
        <v>8</v>
      </c>
      <c r="F115" s="10" t="n">
        <f aca="false">EXP(LN(INDEX(BSR_Table!$B$2:$B$14,MIN(MATCH(C115,BSR_Table!$A$2:$A$14,1),12)))+(LN(C115)-LN(INDEX(BSR_Table!$A$2:$A$14,MIN(MATCH(C115,BSR_Table!$A$2:$A$14,1),12))))*(LN(INDEX(BSR_Table!$B$2:$B$14,MIN(MATCH(C115,BSR_Table!$A$2:$A$14,1),12)+1))-LN(INDEX(BSR_Table!$B$2:$B$14,MIN(MATCH(C115,BSR_Table!$A$2:$A$14,1),12))))/(LN(INDEX(BSR_Table!$A$2:$A$14,MIN(MATCH(C115,BSR_Table!$A$2:$A$14,1),12)+1))-LN(INDEX(BSR_Table!$A$2:$A$14,MIN(MATCH(C115,BSR_Table!$A$2:$A$14,1),12)))))</f>
        <v>1.18501863040458</v>
      </c>
      <c r="G115" s="24" t="n">
        <f aca="false">F115*Sales_Estimates!$B$6*D115</f>
        <v>10.3096620845198</v>
      </c>
      <c r="H115" s="23" t="n">
        <f aca="false">G115/E115</f>
        <v>1.28870776056498</v>
      </c>
      <c r="I115" s="6" t="s">
        <v>119</v>
      </c>
    </row>
    <row r="116" customFormat="false" ht="15" hidden="false" customHeight="false" outlineLevel="0" collapsed="false">
      <c r="A116" s="6" t="s">
        <v>71</v>
      </c>
      <c r="B116" s="3" t="s">
        <v>1589</v>
      </c>
      <c r="C116" s="12" t="n">
        <v>137685</v>
      </c>
      <c r="D116" s="28" t="n">
        <v>0.99</v>
      </c>
      <c r="E116" s="36" t="n">
        <v>27</v>
      </c>
      <c r="F116" s="10" t="n">
        <f aca="false">EXP(LN(INDEX(BSR_Table!$B$2:$B$14,MIN(MATCH(C116,BSR_Table!$A$2:$A$14,1),12)))+(LN(C116)-LN(INDEX(BSR_Table!$A$2:$A$14,MIN(MATCH(C116,BSR_Table!$A$2:$A$14,1),12))))*(LN(INDEX(BSR_Table!$B$2:$B$14,MIN(MATCH(C116,BSR_Table!$A$2:$A$14,1),12)+1))-LN(INDEX(BSR_Table!$B$2:$B$14,MIN(MATCH(C116,BSR_Table!$A$2:$A$14,1),12))))/(LN(INDEX(BSR_Table!$A$2:$A$14,MIN(MATCH(C116,BSR_Table!$A$2:$A$14,1),12)+1))-LN(INDEX(BSR_Table!$A$2:$A$14,MIN(MATCH(C116,BSR_Table!$A$2:$A$14,1),12)))))</f>
        <v>0.982863307753108</v>
      </c>
      <c r="G116" s="24" t="n">
        <f aca="false">F116*Sales_Estimates!$B$6*D116</f>
        <v>29.1910402402673</v>
      </c>
      <c r="H116" s="23" t="n">
        <f aca="false">G116/E116</f>
        <v>1.08114963852842</v>
      </c>
      <c r="I116" s="6" t="s">
        <v>119</v>
      </c>
    </row>
    <row r="117" customFormat="false" ht="35.05" hidden="false" customHeight="false" outlineLevel="0" collapsed="false">
      <c r="A117" s="6" t="s">
        <v>71</v>
      </c>
      <c r="B117" s="3" t="s">
        <v>1590</v>
      </c>
      <c r="C117" s="12" t="n">
        <v>141351</v>
      </c>
      <c r="D117" s="28" t="n">
        <v>4.98</v>
      </c>
      <c r="E117" s="36" t="n">
        <v>139</v>
      </c>
      <c r="F117" s="10" t="n">
        <f aca="false">EXP(LN(INDEX(BSR_Table!$B$2:$B$14,MIN(MATCH(C117,BSR_Table!$A$2:$A$14,1),12)))+(LN(C117)-LN(INDEX(BSR_Table!$A$2:$A$14,MIN(MATCH(C117,BSR_Table!$A$2:$A$14,1),12))))*(LN(INDEX(BSR_Table!$B$2:$B$14,MIN(MATCH(C117,BSR_Table!$A$2:$A$14,1),12)+1))-LN(INDEX(BSR_Table!$B$2:$B$14,MIN(MATCH(C117,BSR_Table!$A$2:$A$14,1),12))))/(LN(INDEX(BSR_Table!$A$2:$A$14,MIN(MATCH(C117,BSR_Table!$A$2:$A$14,1),12)+1))-LN(INDEX(BSR_Table!$A$2:$A$14,MIN(MATCH(C117,BSR_Table!$A$2:$A$14,1),12)))))</f>
        <v>0.949307561053165</v>
      </c>
      <c r="G117" s="24" t="n">
        <f aca="false">F117*Sales_Estimates!$B$6*D117</f>
        <v>141.826549621343</v>
      </c>
      <c r="H117" s="23" t="n">
        <f aca="false">G117/E117</f>
        <v>1.02033488936218</v>
      </c>
      <c r="I117" s="6" t="s">
        <v>119</v>
      </c>
    </row>
    <row r="118" customFormat="false" ht="23.85" hidden="false" customHeight="false" outlineLevel="0" collapsed="false">
      <c r="A118" s="6" t="s">
        <v>71</v>
      </c>
      <c r="B118" s="3" t="s">
        <v>1591</v>
      </c>
      <c r="C118" s="12" t="n">
        <v>146401</v>
      </c>
      <c r="D118" s="28" t="n">
        <v>3.99</v>
      </c>
      <c r="E118" s="36" t="n">
        <v>111</v>
      </c>
      <c r="F118" s="10" t="n">
        <f aca="false">EXP(LN(INDEX(BSR_Table!$B$2:$B$14,MIN(MATCH(C118,BSR_Table!$A$2:$A$14,1),12)))+(LN(C118)-LN(INDEX(BSR_Table!$A$2:$A$14,MIN(MATCH(C118,BSR_Table!$A$2:$A$14,1),12))))*(LN(INDEX(BSR_Table!$B$2:$B$14,MIN(MATCH(C118,BSR_Table!$A$2:$A$14,1),12)+1))-LN(INDEX(BSR_Table!$B$2:$B$14,MIN(MATCH(C118,BSR_Table!$A$2:$A$14,1),12))))/(LN(INDEX(BSR_Table!$A$2:$A$14,MIN(MATCH(C118,BSR_Table!$A$2:$A$14,1),12)+1))-LN(INDEX(BSR_Table!$A$2:$A$14,MIN(MATCH(C118,BSR_Table!$A$2:$A$14,1),12)))))</f>
        <v>0.906262348910827</v>
      </c>
      <c r="G118" s="24" t="n">
        <f aca="false">F118*Sales_Estimates!$B$6*D118</f>
        <v>108.479603164626</v>
      </c>
      <c r="H118" s="23" t="n">
        <f aca="false">G118/E118</f>
        <v>0.977293722203838</v>
      </c>
      <c r="I118" s="6" t="s">
        <v>127</v>
      </c>
    </row>
    <row r="119" customFormat="false" ht="15" hidden="false" customHeight="false" outlineLevel="0" collapsed="false">
      <c r="A119" s="6" t="s">
        <v>71</v>
      </c>
      <c r="B119" s="3" t="s">
        <v>1592</v>
      </c>
      <c r="C119" s="12" t="n">
        <v>147293</v>
      </c>
      <c r="D119" s="28" t="n">
        <v>1.99</v>
      </c>
      <c r="E119" s="36" t="n">
        <v>55</v>
      </c>
      <c r="F119" s="10" t="n">
        <f aca="false">EXP(LN(INDEX(BSR_Table!$B$2:$B$14,MIN(MATCH(C119,BSR_Table!$A$2:$A$14,1),12)))+(LN(C119)-LN(INDEX(BSR_Table!$A$2:$A$14,MIN(MATCH(C119,BSR_Table!$A$2:$A$14,1),12))))*(LN(INDEX(BSR_Table!$B$2:$B$14,MIN(MATCH(C119,BSR_Table!$A$2:$A$14,1),12)+1))-LN(INDEX(BSR_Table!$B$2:$B$14,MIN(MATCH(C119,BSR_Table!$A$2:$A$14,1),12))))/(LN(INDEX(BSR_Table!$A$2:$A$14,MIN(MATCH(C119,BSR_Table!$A$2:$A$14,1),12)+1))-LN(INDEX(BSR_Table!$A$2:$A$14,MIN(MATCH(C119,BSR_Table!$A$2:$A$14,1),12)))))</f>
        <v>0.899014312234743</v>
      </c>
      <c r="G119" s="24" t="n">
        <f aca="false">F119*Sales_Estimates!$B$6*D119</f>
        <v>53.6711544404141</v>
      </c>
      <c r="H119" s="23" t="n">
        <f aca="false">G119/E119</f>
        <v>0.975839171643893</v>
      </c>
      <c r="I119" s="6" t="s">
        <v>119</v>
      </c>
    </row>
    <row r="120" customFormat="false" ht="15" hidden="false" customHeight="false" outlineLevel="0" collapsed="false">
      <c r="A120" s="6" t="s">
        <v>71</v>
      </c>
      <c r="B120" s="3" t="s">
        <v>1593</v>
      </c>
      <c r="C120" s="12" t="n">
        <v>150591</v>
      </c>
      <c r="D120" s="28" t="n">
        <v>5.99</v>
      </c>
      <c r="E120" s="36" t="n">
        <v>167</v>
      </c>
      <c r="F120" s="10" t="n">
        <f aca="false">EXP(LN(INDEX(BSR_Table!$B$2:$B$14,MIN(MATCH(C120,BSR_Table!$A$2:$A$14,1),12)))+(LN(C120)-LN(INDEX(BSR_Table!$A$2:$A$14,MIN(MATCH(C120,BSR_Table!$A$2:$A$14,1),12))))*(LN(INDEX(BSR_Table!$B$2:$B$14,MIN(MATCH(C120,BSR_Table!$A$2:$A$14,1),12)+1))-LN(INDEX(BSR_Table!$B$2:$B$14,MIN(MATCH(C120,BSR_Table!$A$2:$A$14,1),12))))/(LN(INDEX(BSR_Table!$A$2:$A$14,MIN(MATCH(C120,BSR_Table!$A$2:$A$14,1),12)+1))-LN(INDEX(BSR_Table!$A$2:$A$14,MIN(MATCH(C120,BSR_Table!$A$2:$A$14,1),12)))))</f>
        <v>0.873079403241904</v>
      </c>
      <c r="G120" s="24" t="n">
        <f aca="false">F120*Sales_Estimates!$B$6*D120</f>
        <v>156.89236876257</v>
      </c>
      <c r="H120" s="23" t="n">
        <f aca="false">G120/E120</f>
        <v>0.939475262051318</v>
      </c>
      <c r="I120" s="6" t="s">
        <v>119</v>
      </c>
    </row>
    <row r="121" customFormat="false" ht="15" hidden="false" customHeight="false" outlineLevel="0" collapsed="false">
      <c r="A121" s="6" t="s">
        <v>71</v>
      </c>
      <c r="B121" s="3" t="s">
        <v>1594</v>
      </c>
      <c r="C121" s="12" t="n">
        <v>153597</v>
      </c>
      <c r="D121" s="28" t="n">
        <v>8.99</v>
      </c>
      <c r="E121" s="36" t="n">
        <v>251</v>
      </c>
      <c r="F121" s="10" t="n">
        <f aca="false">EXP(LN(INDEX(BSR_Table!$B$2:$B$14,MIN(MATCH(C121,BSR_Table!$A$2:$A$14,1),12)))+(LN(C121)-LN(INDEX(BSR_Table!$A$2:$A$14,MIN(MATCH(C121,BSR_Table!$A$2:$A$14,1),12))))*(LN(INDEX(BSR_Table!$B$2:$B$14,MIN(MATCH(C121,BSR_Table!$A$2:$A$14,1),12)+1))-LN(INDEX(BSR_Table!$B$2:$B$14,MIN(MATCH(C121,BSR_Table!$A$2:$A$14,1),12))))/(LN(INDEX(BSR_Table!$A$2:$A$14,MIN(MATCH(C121,BSR_Table!$A$2:$A$14,1),12)+1))-LN(INDEX(BSR_Table!$A$2:$A$14,MIN(MATCH(C121,BSR_Table!$A$2:$A$14,1),12)))))</f>
        <v>0.850563393241399</v>
      </c>
      <c r="G121" s="24" t="n">
        <f aca="false">F121*Sales_Estimates!$B$6*D121</f>
        <v>229.396947157205</v>
      </c>
      <c r="H121" s="23" t="n">
        <f aca="false">G121/E121</f>
        <v>0.913932060387272</v>
      </c>
      <c r="I121" s="6" t="s">
        <v>119</v>
      </c>
    </row>
    <row r="122" customFormat="false" ht="15" hidden="false" customHeight="false" outlineLevel="0" collapsed="false">
      <c r="A122" s="6" t="s">
        <v>71</v>
      </c>
      <c r="B122" s="3" t="s">
        <v>1595</v>
      </c>
      <c r="C122" s="12" t="n">
        <v>154192</v>
      </c>
      <c r="D122" s="28" t="n">
        <v>2.99</v>
      </c>
      <c r="E122" s="36" t="n">
        <v>83</v>
      </c>
      <c r="F122" s="10" t="n">
        <f aca="false">EXP(LN(INDEX(BSR_Table!$B$2:$B$14,MIN(MATCH(C122,BSR_Table!$A$2:$A$14,1),12)))+(LN(C122)-LN(INDEX(BSR_Table!$A$2:$A$14,MIN(MATCH(C122,BSR_Table!$A$2:$A$14,1),12))))*(LN(INDEX(BSR_Table!$B$2:$B$14,MIN(MATCH(C122,BSR_Table!$A$2:$A$14,1),12)+1))-LN(INDEX(BSR_Table!$B$2:$B$14,MIN(MATCH(C122,BSR_Table!$A$2:$A$14,1),12))))/(LN(INDEX(BSR_Table!$A$2:$A$14,MIN(MATCH(C122,BSR_Table!$A$2:$A$14,1),12)+1))-LN(INDEX(BSR_Table!$A$2:$A$14,MIN(MATCH(C122,BSR_Table!$A$2:$A$14,1),12)))))</f>
        <v>0.846227290435724</v>
      </c>
      <c r="G122" s="24" t="n">
        <f aca="false">F122*Sales_Estimates!$B$6*D122</f>
        <v>75.9065879520845</v>
      </c>
      <c r="H122" s="23" t="n">
        <f aca="false">G122/E122</f>
        <v>0.914537204241981</v>
      </c>
      <c r="I122" s="6" t="s">
        <v>127</v>
      </c>
    </row>
    <row r="123" customFormat="false" ht="15" hidden="false" customHeight="false" outlineLevel="0" collapsed="false">
      <c r="A123" s="6" t="s">
        <v>71</v>
      </c>
      <c r="B123" s="3" t="s">
        <v>1596</v>
      </c>
      <c r="C123" s="12" t="n">
        <v>183947</v>
      </c>
      <c r="D123" s="28" t="n">
        <v>3</v>
      </c>
      <c r="E123" s="36" t="n">
        <v>84</v>
      </c>
      <c r="F123" s="10" t="n">
        <f aca="false">EXP(LN(INDEX(BSR_Table!$B$2:$B$14,MIN(MATCH(C123,BSR_Table!$A$2:$A$14,1),12)))+(LN(C123)-LN(INDEX(BSR_Table!$A$2:$A$14,MIN(MATCH(C123,BSR_Table!$A$2:$A$14,1),12))))*(LN(INDEX(BSR_Table!$B$2:$B$14,MIN(MATCH(C123,BSR_Table!$A$2:$A$14,1),12)+1))-LN(INDEX(BSR_Table!$B$2:$B$14,MIN(MATCH(C123,BSR_Table!$A$2:$A$14,1),12))))/(LN(INDEX(BSR_Table!$A$2:$A$14,MIN(MATCH(C123,BSR_Table!$A$2:$A$14,1),12)+1))-LN(INDEX(BSR_Table!$A$2:$A$14,MIN(MATCH(C123,BSR_Table!$A$2:$A$14,1),12)))))</f>
        <v>0.670172387647193</v>
      </c>
      <c r="G123" s="24" t="n">
        <f aca="false">F123*Sales_Estimates!$B$6*D123</f>
        <v>60.3155148882473</v>
      </c>
      <c r="H123" s="23" t="n">
        <f aca="false">G123/E123</f>
        <v>0.718041843907706</v>
      </c>
      <c r="I123" s="6" t="s">
        <v>127</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0"/>
    <col collapsed="false" customWidth="true" hidden="false" outlineLevel="0" max="3" min="3" style="0" width="70"/>
    <col collapsed="false" customWidth="true" hidden="false" outlineLevel="0" max="4" min="4" style="0" width="12"/>
    <col collapsed="false" customWidth="true" hidden="false" outlineLevel="0" max="5" min="5" style="0" width="22"/>
    <col collapsed="false" customWidth="true" hidden="false" outlineLevel="0" max="6" min="6" style="0" width="50"/>
  </cols>
  <sheetData>
    <row r="1" customFormat="false" ht="15" hidden="false" customHeight="false" outlineLevel="0" collapsed="false">
      <c r="A1" s="4" t="s">
        <v>1232</v>
      </c>
      <c r="B1" s="4" t="s">
        <v>1597</v>
      </c>
      <c r="C1" s="4" t="s">
        <v>1598</v>
      </c>
      <c r="D1" s="4" t="s">
        <v>1599</v>
      </c>
      <c r="E1" s="4" t="s">
        <v>1600</v>
      </c>
      <c r="F1" s="4" t="s">
        <v>1601</v>
      </c>
    </row>
    <row r="2" customFormat="false" ht="15" hidden="false" customHeight="false" outlineLevel="0" collapsed="false">
      <c r="A2" s="3" t="s">
        <v>1602</v>
      </c>
      <c r="B2" s="6" t="s">
        <v>1603</v>
      </c>
      <c r="C2" s="3" t="s">
        <v>1604</v>
      </c>
      <c r="D2" s="6" t="s">
        <v>1605</v>
      </c>
      <c r="E2" s="6" t="s">
        <v>1606</v>
      </c>
      <c r="F2" s="3" t="s">
        <v>1607</v>
      </c>
    </row>
    <row r="3" customFormat="false" ht="23.85" hidden="false" customHeight="false" outlineLevel="0" collapsed="false">
      <c r="A3" s="3" t="s">
        <v>1608</v>
      </c>
      <c r="B3" s="6" t="s">
        <v>1603</v>
      </c>
      <c r="C3" s="3" t="s">
        <v>1609</v>
      </c>
      <c r="D3" s="6" t="s">
        <v>1605</v>
      </c>
      <c r="E3" s="6" t="s">
        <v>1610</v>
      </c>
      <c r="F3" s="3" t="s">
        <v>1611</v>
      </c>
    </row>
    <row r="4" customFormat="false" ht="15" hidden="false" customHeight="false" outlineLevel="0" collapsed="false">
      <c r="A4" s="3" t="s">
        <v>1612</v>
      </c>
      <c r="B4" s="6" t="s">
        <v>1603</v>
      </c>
      <c r="C4" s="3" t="s">
        <v>1613</v>
      </c>
      <c r="D4" s="6" t="s">
        <v>1605</v>
      </c>
      <c r="E4" s="6" t="s">
        <v>1614</v>
      </c>
      <c r="F4" s="3" t="s">
        <v>1615</v>
      </c>
    </row>
    <row r="5" customFormat="false" ht="15" hidden="false" customHeight="false" outlineLevel="0" collapsed="false">
      <c r="A5" s="3" t="s">
        <v>1616</v>
      </c>
      <c r="B5" s="6" t="s">
        <v>1617</v>
      </c>
      <c r="C5" s="3" t="s">
        <v>1618</v>
      </c>
      <c r="D5" s="6" t="s">
        <v>1605</v>
      </c>
      <c r="E5" s="6" t="s">
        <v>1619</v>
      </c>
      <c r="F5" s="3" t="s">
        <v>1620</v>
      </c>
    </row>
    <row r="6" customFormat="false" ht="15" hidden="false" customHeight="false" outlineLevel="0" collapsed="false">
      <c r="A6" s="3" t="s">
        <v>1621</v>
      </c>
      <c r="B6" s="6" t="s">
        <v>1617</v>
      </c>
      <c r="C6" s="3" t="s">
        <v>1622</v>
      </c>
      <c r="D6" s="6" t="s">
        <v>1605</v>
      </c>
      <c r="E6" s="6" t="s">
        <v>1619</v>
      </c>
      <c r="F6" s="3" t="s">
        <v>1623</v>
      </c>
    </row>
    <row r="7" customFormat="false" ht="15" hidden="false" customHeight="false" outlineLevel="0" collapsed="false">
      <c r="A7" s="3" t="s">
        <v>1624</v>
      </c>
      <c r="B7" s="6" t="s">
        <v>1617</v>
      </c>
      <c r="C7" s="3" t="s">
        <v>1625</v>
      </c>
      <c r="D7" s="6" t="s">
        <v>1605</v>
      </c>
      <c r="E7" s="6" t="s">
        <v>1619</v>
      </c>
      <c r="F7" s="3" t="s">
        <v>1626</v>
      </c>
    </row>
    <row r="8" customFormat="false" ht="15" hidden="false" customHeight="false" outlineLevel="0" collapsed="false">
      <c r="A8" s="3" t="s">
        <v>1627</v>
      </c>
      <c r="B8" s="6" t="s">
        <v>1617</v>
      </c>
      <c r="C8" s="3" t="s">
        <v>1628</v>
      </c>
      <c r="D8" s="6" t="s">
        <v>1605</v>
      </c>
      <c r="E8" s="6" t="s">
        <v>1619</v>
      </c>
      <c r="F8" s="3" t="s">
        <v>1629</v>
      </c>
    </row>
    <row r="9" customFormat="false" ht="15" hidden="false" customHeight="false" outlineLevel="0" collapsed="false">
      <c r="A9" s="3" t="s">
        <v>1630</v>
      </c>
      <c r="B9" s="6" t="s">
        <v>1631</v>
      </c>
      <c r="C9" s="3" t="s">
        <v>1632</v>
      </c>
      <c r="D9" s="6" t="s">
        <v>1605</v>
      </c>
      <c r="E9" s="6" t="s">
        <v>1633</v>
      </c>
      <c r="F9" s="3" t="s">
        <v>1634</v>
      </c>
    </row>
    <row r="10" customFormat="false" ht="15" hidden="false" customHeight="false" outlineLevel="0" collapsed="false">
      <c r="A10" s="3" t="s">
        <v>1635</v>
      </c>
      <c r="B10" s="6" t="s">
        <v>1631</v>
      </c>
      <c r="C10" s="3" t="s">
        <v>1636</v>
      </c>
      <c r="D10" s="6" t="s">
        <v>1605</v>
      </c>
      <c r="E10" s="6" t="s">
        <v>1619</v>
      </c>
      <c r="F10" s="3" t="s">
        <v>1637</v>
      </c>
    </row>
    <row r="11" customFormat="false" ht="15" hidden="false" customHeight="false" outlineLevel="0" collapsed="false">
      <c r="A11" s="3" t="s">
        <v>1638</v>
      </c>
      <c r="B11" s="6" t="s">
        <v>1639</v>
      </c>
      <c r="C11" s="3" t="s">
        <v>1640</v>
      </c>
      <c r="D11" s="6" t="s">
        <v>1605</v>
      </c>
      <c r="E11" s="6" t="s">
        <v>1619</v>
      </c>
      <c r="F11" s="3" t="s">
        <v>1641</v>
      </c>
    </row>
    <row r="12" customFormat="false" ht="15" hidden="false" customHeight="false" outlineLevel="0" collapsed="false">
      <c r="A12" s="3" t="s">
        <v>1642</v>
      </c>
      <c r="B12" s="6" t="s">
        <v>17</v>
      </c>
      <c r="C12" s="3" t="s">
        <v>1643</v>
      </c>
      <c r="D12" s="6" t="s">
        <v>1605</v>
      </c>
      <c r="E12" s="6" t="s">
        <v>1644</v>
      </c>
      <c r="F12" s="3" t="s">
        <v>1645</v>
      </c>
    </row>
    <row r="13" customFormat="false" ht="15" hidden="false" customHeight="false" outlineLevel="0" collapsed="false">
      <c r="A13" s="3" t="s">
        <v>1646</v>
      </c>
      <c r="B13" s="6" t="s">
        <v>1647</v>
      </c>
      <c r="C13" s="3" t="s">
        <v>1648</v>
      </c>
      <c r="D13" s="6" t="s">
        <v>1605</v>
      </c>
      <c r="E13" s="6" t="s">
        <v>1619</v>
      </c>
      <c r="F13" s="3" t="s">
        <v>1649</v>
      </c>
    </row>
    <row r="14" customFormat="false" ht="15" hidden="false" customHeight="false" outlineLevel="0" collapsed="false">
      <c r="A14" s="3" t="s">
        <v>1650</v>
      </c>
      <c r="B14" s="6" t="s">
        <v>1647</v>
      </c>
      <c r="C14" s="3" t="s">
        <v>1651</v>
      </c>
      <c r="D14" s="6" t="s">
        <v>1605</v>
      </c>
      <c r="E14" s="6" t="s">
        <v>1619</v>
      </c>
      <c r="F14" s="3" t="s">
        <v>1652</v>
      </c>
    </row>
    <row r="15" customFormat="false" ht="23.85" hidden="false" customHeight="false" outlineLevel="0" collapsed="false">
      <c r="A15" s="3" t="s">
        <v>1653</v>
      </c>
      <c r="B15" s="6" t="s">
        <v>1647</v>
      </c>
      <c r="C15" s="3" t="s">
        <v>1654</v>
      </c>
      <c r="D15" s="6" t="s">
        <v>1605</v>
      </c>
      <c r="E15" s="6" t="s">
        <v>1619</v>
      </c>
      <c r="F15" s="3" t="s">
        <v>1655</v>
      </c>
    </row>
    <row r="16" customFormat="false" ht="15" hidden="false" customHeight="false" outlineLevel="0" collapsed="false">
      <c r="A16" s="3" t="s">
        <v>1656</v>
      </c>
      <c r="B16" s="6" t="s">
        <v>1647</v>
      </c>
      <c r="C16" s="3" t="s">
        <v>1657</v>
      </c>
      <c r="D16" s="6" t="s">
        <v>1605</v>
      </c>
      <c r="E16" s="6" t="s">
        <v>1619</v>
      </c>
      <c r="F16" s="3" t="s">
        <v>1658</v>
      </c>
    </row>
    <row r="17" customFormat="false" ht="15" hidden="false" customHeight="false" outlineLevel="0" collapsed="false">
      <c r="A17" s="3" t="s">
        <v>1659</v>
      </c>
      <c r="B17" s="6" t="s">
        <v>1631</v>
      </c>
      <c r="C17" s="3" t="s">
        <v>1660</v>
      </c>
      <c r="D17" s="6" t="s">
        <v>1661</v>
      </c>
      <c r="E17" s="6" t="s">
        <v>1662</v>
      </c>
      <c r="F17" s="3" t="s">
        <v>1663</v>
      </c>
    </row>
    <row r="18" customFormat="false" ht="15" hidden="false" customHeight="false" outlineLevel="0" collapsed="false">
      <c r="A18" s="3" t="s">
        <v>1664</v>
      </c>
      <c r="B18" s="6" t="s">
        <v>1631</v>
      </c>
      <c r="C18" s="3" t="s">
        <v>1665</v>
      </c>
      <c r="D18" s="6" t="s">
        <v>1605</v>
      </c>
      <c r="E18" s="6" t="s">
        <v>1666</v>
      </c>
      <c r="F18" s="3" t="s">
        <v>1667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2026-10-07T15:57:48Z</dcterms:created>
  <dc:creator>openpyxl</dc:creator>
  <dc:description/>
  <dc:language>en-US</dc:language>
  <cp:lastModifiedBy/>
  <dcterms:modified xsi:type="dcterms:W3CDTF">2026-10-07T15:57:48Z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